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tiembre 26" sheetId="1" state="visible" r:id="rId1"/>
    <sheet name="Listas" sheetId="2" state="visible" r:id="rId2"/>
    <sheet name="Cómo funciona" sheetId="3" state="visible" r:id="rId3"/>
  </sheets>
  <definedNames>
    <definedName name="_xlnm.Print_Area" localSheetId="0">'Septiembre 26'!$A$1:$U$64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&quot;€&quot;;-#,##0.00 &quot;€&quot;;&quot;-&quot;"/>
    <numFmt numFmtId="165" formatCode="0.0%;-0.0%;&quot;-&quot;"/>
    <numFmt numFmtId="166" formatCode="[Color10]+#,##0.00 &quot;€&quot;;[Red]-#,##0.00 &quot;€&quot;;0.00 &quot;€&quot;"/>
    <numFmt numFmtId="167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i val="1"/>
      <color rgb="00808080"/>
      <sz val="10"/>
    </font>
    <font>
      <name val="Arial"/>
      <b val="1"/>
      <color rgb="001F3864"/>
      <sz val="16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0000FF"/>
      <sz val="10"/>
    </font>
    <font>
      <name val="Arial"/>
      <i val="1"/>
      <color rgb="00808080"/>
      <sz val="9"/>
    </font>
    <font>
      <name val="Arial"/>
      <b val="1"/>
      <i val="1"/>
      <sz val="10"/>
    </font>
    <font>
      <name val="Arial"/>
      <sz val="10"/>
    </font>
    <font>
      <name val="Arial"/>
      <color rgb="00000000"/>
      <sz val="10"/>
    </font>
    <font>
      <name val="Arial"/>
      <b val="1"/>
      <sz val="11"/>
    </font>
    <font>
      <name val="Arial"/>
      <b val="1"/>
      <color rgb="001F3864"/>
      <sz val="11"/>
    </font>
    <font>
      <name val="Arial"/>
      <color rgb="00FFFFFF"/>
      <sz val="9"/>
    </font>
    <font>
      <name val="Arial"/>
      <color rgb="00FFFFFF"/>
      <sz val="10"/>
    </font>
    <font>
      <name val="Arial"/>
      <color rgb="00000000"/>
      <sz val="9"/>
    </font>
    <font>
      <name val="Arial"/>
      <b val="1"/>
      <color rgb="001F3864"/>
      <sz val="12"/>
    </font>
  </fonts>
  <fills count="54">
    <fill>
      <patternFill/>
    </fill>
    <fill>
      <patternFill patternType="gray125"/>
    </fill>
    <fill>
      <patternFill patternType="solid">
        <fgColor rgb="005089BC"/>
      </patternFill>
    </fill>
    <fill>
      <patternFill patternType="solid">
        <fgColor rgb="002E8B57"/>
      </patternFill>
    </fill>
    <fill>
      <patternFill patternType="solid">
        <fgColor rgb="00D26E2A"/>
      </patternFill>
    </fill>
    <fill>
      <patternFill patternType="solid">
        <fgColor rgb="008B5A2B"/>
      </patternFill>
    </fill>
    <fill>
      <patternFill patternType="solid">
        <fgColor rgb="00C0392B"/>
      </patternFill>
    </fill>
    <fill>
      <patternFill patternType="solid">
        <fgColor rgb="00929292"/>
      </patternFill>
    </fill>
    <fill>
      <patternFill patternType="solid">
        <fgColor rgb="0062993E"/>
      </patternFill>
    </fill>
    <fill>
      <patternFill patternType="solid">
        <fgColor rgb="00B565A7"/>
      </patternFill>
    </fill>
    <fill>
      <patternFill patternType="solid">
        <fgColor rgb="0097B9E0"/>
      </patternFill>
    </fill>
    <fill>
      <patternFill patternType="solid">
        <fgColor rgb="00F1A78A"/>
      </patternFill>
    </fill>
    <fill>
      <patternFill patternType="solid">
        <fgColor rgb="00E2AA00"/>
      </patternFill>
    </fill>
    <fill>
      <patternFill patternType="solid">
        <fgColor rgb="00FFD184"/>
      </patternFill>
    </fill>
    <fill>
      <patternFill patternType="solid">
        <fgColor rgb="008FA2D4"/>
      </patternFill>
    </fill>
    <fill>
      <patternFill patternType="solid">
        <fgColor rgb="003B64AD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315A7F"/>
      </patternFill>
    </fill>
    <fill>
      <patternFill patternType="solid">
        <fgColor rgb="00427AAC"/>
      </patternFill>
    </fill>
    <fill>
      <patternFill patternType="solid">
        <fgColor rgb="006698C4"/>
      </patternFill>
    </fill>
    <fill>
      <patternFill patternType="solid">
        <fgColor rgb="0092B6D5"/>
      </patternFill>
    </fill>
    <fill>
      <patternFill patternType="solid">
        <fgColor rgb="00194D30"/>
      </patternFill>
    </fill>
    <fill>
      <patternFill patternType="solid">
        <fgColor rgb="0050C583"/>
      </patternFill>
    </fill>
    <fill>
      <patternFill patternType="solid">
        <fgColor rgb="0086461B"/>
      </patternFill>
    </fill>
    <fill>
      <patternFill patternType="solid">
        <fgColor rgb="00E3A174"/>
      </patternFill>
    </fill>
    <fill>
      <patternFill patternType="solid">
        <fgColor rgb="004E3218"/>
      </patternFill>
    </fill>
    <fill>
      <patternFill patternType="solid">
        <fgColor rgb="00C7884B"/>
      </patternFill>
    </fill>
    <fill>
      <patternFill patternType="solid">
        <fgColor rgb="0075231A"/>
      </patternFill>
    </fill>
    <fill>
      <patternFill patternType="solid">
        <fgColor rgb="00DD7469"/>
      </patternFill>
    </fill>
    <fill>
      <patternFill patternType="solid">
        <fgColor rgb="00646464"/>
      </patternFill>
    </fill>
    <fill>
      <patternFill patternType="solid">
        <fgColor rgb="00838383"/>
      </patternFill>
    </fill>
    <fill>
      <patternFill patternType="solid">
        <fgColor rgb="00A1A1A1"/>
      </patternFill>
    </fill>
    <fill>
      <patternFill patternType="solid">
        <fgColor rgb="00C0C0C0"/>
      </patternFill>
    </fill>
    <fill>
      <patternFill patternType="solid">
        <fgColor rgb="00385824"/>
      </patternFill>
    </fill>
    <fill>
      <patternFill patternType="solid">
        <fgColor rgb="00548335"/>
      </patternFill>
    </fill>
    <fill>
      <patternFill patternType="solid">
        <fgColor rgb="0070AF47"/>
      </patternFill>
    </fill>
    <fill>
      <patternFill patternType="solid">
        <fgColor rgb="0090C46E"/>
      </patternFill>
    </fill>
    <fill>
      <patternFill patternType="solid">
        <fgColor rgb="00803E75"/>
      </patternFill>
    </fill>
    <fill>
      <patternFill patternType="solid">
        <fgColor rgb="00D3A3CA"/>
      </patternFill>
    </fill>
    <fill>
      <patternFill patternType="solid">
        <fgColor rgb="005089CB"/>
      </patternFill>
    </fill>
    <fill>
      <patternFill patternType="solid">
        <fgColor rgb="00C4D7ED"/>
      </patternFill>
    </fill>
    <fill>
      <patternFill patternType="solid">
        <fgColor rgb="00E76938"/>
      </patternFill>
    </fill>
    <fill>
      <patternFill patternType="solid">
        <fgColor rgb="00F7CCBB"/>
      </patternFill>
    </fill>
    <fill>
      <patternFill patternType="solid">
        <fgColor rgb="00866500"/>
      </patternFill>
    </fill>
    <fill>
      <patternFill patternType="solid">
        <fgColor rgb="00FFCF3F"/>
      </patternFill>
    </fill>
    <fill>
      <patternFill patternType="solid">
        <fgColor rgb="00FFAF28"/>
      </patternFill>
    </fill>
    <fill>
      <patternFill patternType="solid">
        <fgColor rgb="00FFE2B2"/>
      </patternFill>
    </fill>
    <fill>
      <patternFill patternType="solid">
        <fgColor rgb="004D6BBB"/>
      </patternFill>
    </fill>
    <fill>
      <patternFill patternType="solid">
        <fgColor rgb="00C8D1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16" borderId="0" applyAlignment="1" pivotButton="0" quotePrefix="0" xfId="0">
      <alignment horizontal="left" vertical="center"/>
    </xf>
    <xf numFmtId="0" fontId="0" fillId="16" borderId="0" pivotButton="0" quotePrefix="0" xfId="0"/>
    <xf numFmtId="0" fontId="7" fillId="17" borderId="1" pivotButton="0" quotePrefix="0" xfId="0"/>
    <xf numFmtId="164" fontId="8" fillId="17" borderId="1" pivotButton="0" quotePrefix="0" xfId="0"/>
    <xf numFmtId="0" fontId="9" fillId="0" borderId="0" pivotButton="0" quotePrefix="0" xfId="0"/>
    <xf numFmtId="0" fontId="7" fillId="21" borderId="1" pivotButton="0" quotePrefix="0" xfId="0"/>
    <xf numFmtId="0" fontId="10" fillId="0" borderId="0" pivotButton="0" quotePrefix="0" xfId="0"/>
    <xf numFmtId="0" fontId="1" fillId="2" borderId="1" pivotButton="0" quotePrefix="0" xfId="0"/>
    <xf numFmtId="165" fontId="11" fillId="0" borderId="1" pivotButton="0" quotePrefix="0" xfId="0"/>
    <xf numFmtId="164" fontId="11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1" fillId="6" borderId="1" pivotButton="0" quotePrefix="0" xfId="0"/>
    <xf numFmtId="0" fontId="11" fillId="17" borderId="1" pivotButton="0" quotePrefix="0" xfId="0"/>
    <xf numFmtId="164" fontId="12" fillId="17" borderId="1" pivotButton="0" quotePrefix="0" xfId="0"/>
    <xf numFmtId="0" fontId="1" fillId="7" borderId="1" pivotButton="0" quotePrefix="0" xfId="0"/>
    <xf numFmtId="0" fontId="7" fillId="18" borderId="1" pivotButton="0" quotePrefix="0" xfId="0"/>
    <xf numFmtId="164" fontId="3" fillId="18" borderId="1" pivotButton="0" quotePrefix="0" xfId="0"/>
    <xf numFmtId="0" fontId="1" fillId="8" borderId="1" pivotButton="0" quotePrefix="0" xfId="0"/>
    <xf numFmtId="0" fontId="7" fillId="19" borderId="1" pivotButton="0" quotePrefix="0" xfId="0"/>
    <xf numFmtId="164" fontId="3" fillId="19" borderId="1" pivotButton="0" quotePrefix="0" xfId="0"/>
    <xf numFmtId="0" fontId="1" fillId="9" borderId="1" pivotButton="0" quotePrefix="0" xfId="0"/>
    <xf numFmtId="0" fontId="11" fillId="0" borderId="1" pivotButton="0" quotePrefix="0" xfId="0"/>
    <xf numFmtId="164" fontId="12" fillId="0" borderId="1" pivotButton="0" quotePrefix="0" xfId="0"/>
    <xf numFmtId="0" fontId="3" fillId="10" borderId="1" pivotButton="0" quotePrefix="0" xfId="0"/>
    <xf numFmtId="9" fontId="2" fillId="20" borderId="1" pivotButton="0" quotePrefix="0" xfId="0"/>
    <xf numFmtId="0" fontId="3" fillId="11" borderId="1" pivotButton="0" quotePrefix="0" xfId="0"/>
    <xf numFmtId="0" fontId="7" fillId="0" borderId="1" pivotButton="0" quotePrefix="0" xfId="0"/>
    <xf numFmtId="164" fontId="3" fillId="0" borderId="1" pivotButton="0" quotePrefix="0" xfId="0"/>
    <xf numFmtId="0" fontId="3" fillId="12" borderId="1" pivotButton="0" quotePrefix="0" xfId="0"/>
    <xf numFmtId="0" fontId="3" fillId="13" borderId="1" pivotButton="0" quotePrefix="0" xfId="0"/>
    <xf numFmtId="165" fontId="12" fillId="0" borderId="1" pivotButton="0" quotePrefix="0" xfId="0"/>
    <xf numFmtId="0" fontId="3" fillId="14" borderId="1" pivotButton="0" quotePrefix="0" xfId="0"/>
    <xf numFmtId="166" fontId="13" fillId="0" borderId="1" pivotButton="0" quotePrefix="0" xfId="0"/>
    <xf numFmtId="165" fontId="7" fillId="21" borderId="1" pivotButton="0" quotePrefix="0" xfId="0"/>
    <xf numFmtId="164" fontId="7" fillId="21" borderId="1" pivotButton="0" quotePrefix="0" xfId="0"/>
    <xf numFmtId="0" fontId="14" fillId="0" borderId="0" pivotButton="0" quotePrefix="0" xfId="0"/>
    <xf numFmtId="0" fontId="1" fillId="15" borderId="1" pivotButton="0" quotePrefix="0" xfId="0"/>
    <xf numFmtId="165" fontId="0" fillId="0" borderId="1" pivotButton="0" quotePrefix="0" xfId="0"/>
    <xf numFmtId="0" fontId="1" fillId="16" borderId="1" applyAlignment="1" pivotButton="0" quotePrefix="0" xfId="0">
      <alignment horizontal="center"/>
    </xf>
    <xf numFmtId="167" fontId="2" fillId="0" borderId="1" pivotButton="0" quotePrefix="0" xfId="0"/>
    <xf numFmtId="0" fontId="15" fillId="2" borderId="1" pivotButton="0" quotePrefix="0" xfId="0"/>
    <xf numFmtId="0" fontId="16" fillId="22" borderId="1" pivotButton="0" quotePrefix="0" xfId="0"/>
    <xf numFmtId="0" fontId="16" fillId="23" borderId="1" pivotButton="0" quotePrefix="0" xfId="0"/>
    <xf numFmtId="0" fontId="16" fillId="24" borderId="1" pivotButton="0" quotePrefix="0" xfId="0"/>
    <xf numFmtId="0" fontId="12" fillId="25" borderId="1" pivotButton="0" quotePrefix="0" xfId="0"/>
    <xf numFmtId="0" fontId="15" fillId="3" borderId="1" pivotButton="0" quotePrefix="0" xfId="0"/>
    <xf numFmtId="0" fontId="16" fillId="26" borderId="1" pivotButton="0" quotePrefix="0" xfId="0"/>
    <xf numFmtId="0" fontId="16" fillId="3" borderId="1" pivotButton="0" quotePrefix="0" xfId="0"/>
    <xf numFmtId="0" fontId="12" fillId="27" borderId="1" pivotButton="0" quotePrefix="0" xfId="0"/>
    <xf numFmtId="0" fontId="15" fillId="4" borderId="1" pivotButton="0" quotePrefix="0" xfId="0"/>
    <xf numFmtId="0" fontId="16" fillId="28" borderId="1" pivotButton="0" quotePrefix="0" xfId="0"/>
    <xf numFmtId="0" fontId="12" fillId="29" borderId="1" pivotButton="0" quotePrefix="0" xfId="0"/>
    <xf numFmtId="0" fontId="15" fillId="5" borderId="1" pivotButton="0" quotePrefix="0" xfId="0"/>
    <xf numFmtId="0" fontId="16" fillId="30" borderId="1" pivotButton="0" quotePrefix="0" xfId="0"/>
    <xf numFmtId="0" fontId="16" fillId="31" borderId="1" pivotButton="0" quotePrefix="0" xfId="0"/>
    <xf numFmtId="0" fontId="15" fillId="6" borderId="1" pivotButton="0" quotePrefix="0" xfId="0"/>
    <xf numFmtId="0" fontId="16" fillId="32" borderId="1" pivotButton="0" quotePrefix="0" xfId="0"/>
    <xf numFmtId="0" fontId="16" fillId="6" borderId="1" pivotButton="0" quotePrefix="0" xfId="0"/>
    <xf numFmtId="0" fontId="16" fillId="33" borderId="1" pivotButton="0" quotePrefix="0" xfId="0"/>
    <xf numFmtId="0" fontId="15" fillId="7" borderId="1" pivotButton="0" quotePrefix="0" xfId="0"/>
    <xf numFmtId="0" fontId="16" fillId="34" borderId="1" pivotButton="0" quotePrefix="0" xfId="0"/>
    <xf numFmtId="0" fontId="16" fillId="35" borderId="1" pivotButton="0" quotePrefix="0" xfId="0"/>
    <xf numFmtId="0" fontId="12" fillId="36" borderId="1" pivotButton="0" quotePrefix="0" xfId="0"/>
    <xf numFmtId="0" fontId="12" fillId="37" borderId="1" pivotButton="0" quotePrefix="0" xfId="0"/>
    <xf numFmtId="0" fontId="15" fillId="8" borderId="1" pivotButton="0" quotePrefix="0" xfId="0"/>
    <xf numFmtId="0" fontId="16" fillId="38" borderId="1" pivotButton="0" quotePrefix="0" xfId="0"/>
    <xf numFmtId="0" fontId="16" fillId="39" borderId="1" pivotButton="0" quotePrefix="0" xfId="0"/>
    <xf numFmtId="0" fontId="16" fillId="40" borderId="1" pivotButton="0" quotePrefix="0" xfId="0"/>
    <xf numFmtId="0" fontId="12" fillId="41" borderId="1" pivotButton="0" quotePrefix="0" xfId="0"/>
    <xf numFmtId="0" fontId="15" fillId="9" borderId="1" pivotButton="0" quotePrefix="0" xfId="0"/>
    <xf numFmtId="0" fontId="16" fillId="42" borderId="1" pivotButton="0" quotePrefix="0" xfId="0"/>
    <xf numFmtId="0" fontId="16" fillId="9" borderId="1" pivotButton="0" quotePrefix="0" xfId="0"/>
    <xf numFmtId="0" fontId="12" fillId="43" borderId="1" pivotButton="0" quotePrefix="0" xfId="0"/>
    <xf numFmtId="0" fontId="17" fillId="10" borderId="1" pivotButton="0" quotePrefix="0" xfId="0"/>
    <xf numFmtId="0" fontId="16" fillId="44" borderId="1" pivotButton="0" quotePrefix="0" xfId="0"/>
    <xf numFmtId="0" fontId="12" fillId="45" borderId="1" pivotButton="0" quotePrefix="0" xfId="0"/>
    <xf numFmtId="0" fontId="17" fillId="11" borderId="1" pivotButton="0" quotePrefix="0" xfId="0"/>
    <xf numFmtId="0" fontId="16" fillId="46" borderId="1" pivotButton="0" quotePrefix="0" xfId="0"/>
    <xf numFmtId="0" fontId="12" fillId="11" borderId="1" pivotButton="0" quotePrefix="0" xfId="0"/>
    <xf numFmtId="0" fontId="12" fillId="47" borderId="1" pivotButton="0" quotePrefix="0" xfId="0"/>
    <xf numFmtId="0" fontId="17" fillId="12" borderId="1" pivotButton="0" quotePrefix="0" xfId="0"/>
    <xf numFmtId="0" fontId="16" fillId="48" borderId="1" pivotButton="0" quotePrefix="0" xfId="0"/>
    <xf numFmtId="0" fontId="12" fillId="12" borderId="1" pivotButton="0" quotePrefix="0" xfId="0"/>
    <xf numFmtId="0" fontId="12" fillId="49" borderId="1" pivotButton="0" quotePrefix="0" xfId="0"/>
    <xf numFmtId="0" fontId="17" fillId="13" borderId="1" pivotButton="0" quotePrefix="0" xfId="0"/>
    <xf numFmtId="0" fontId="12" fillId="50" borderId="1" pivotButton="0" quotePrefix="0" xfId="0"/>
    <xf numFmtId="0" fontId="12" fillId="13" borderId="1" pivotButton="0" quotePrefix="0" xfId="0"/>
    <xf numFmtId="0" fontId="12" fillId="51" borderId="1" pivotButton="0" quotePrefix="0" xfId="0"/>
    <xf numFmtId="0" fontId="17" fillId="14" borderId="1" pivotButton="0" quotePrefix="0" xfId="0"/>
    <xf numFmtId="0" fontId="16" fillId="52" borderId="1" pivotButton="0" quotePrefix="0" xfId="0"/>
    <xf numFmtId="0" fontId="12" fillId="53" borderId="1" pivotButton="0" quotePrefix="0" xfId="0"/>
    <xf numFmtId="0" fontId="7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wrapText="1"/>
    </xf>
    <xf numFmtId="0" fontId="1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wrapText="1"/>
    </xf>
    <xf numFmtId="0" fontId="3" fillId="10" borderId="0" applyAlignment="1" pivotButton="0" quotePrefix="0" xfId="0">
      <alignment horizontal="center" wrapText="1"/>
    </xf>
    <xf numFmtId="0" fontId="3" fillId="11" borderId="0" applyAlignment="1" pivotButton="0" quotePrefix="0" xfId="0">
      <alignment horizontal="center" wrapText="1"/>
    </xf>
    <xf numFmtId="0" fontId="3" fillId="12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wrapText="1"/>
    </xf>
    <xf numFmtId="0" fontId="3" fillId="14" borderId="0" applyAlignment="1" pivotButton="0" quotePrefix="0" xfId="0">
      <alignment horizontal="center" wrapText="1"/>
    </xf>
    <xf numFmtId="0" fontId="1" fillId="15" borderId="0" applyAlignment="1" pivotButton="0" quotePrefix="0" xfId="0">
      <alignment horizontal="center" wrapText="1"/>
    </xf>
    <xf numFmtId="0" fontId="2" fillId="0" borderId="0" pivotButton="0" quotePrefix="0" xfId="0"/>
    <xf numFmtId="0" fontId="18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C00000"/>
      </font>
    </dxf>
    <dxf>
      <font>
        <name val="Arial"/>
        <b val="1"/>
        <color rgb="0000B050"/>
      </font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Gasto por categoría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5089BC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2E8B57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D26E2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8B5A2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C0392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>
                <a:srgbClr val="929292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>
                <a:srgbClr val="62993E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>
                <a:srgbClr val="B565A7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>
                <a:srgbClr val="97B9E0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>
                <a:srgbClr val="F1A78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0"/>
            <spPr>
              <a:solidFill>
                <a:srgbClr val="E2AA00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1"/>
            <spPr>
              <a:solidFill>
                <a:srgbClr val="FFD184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2"/>
            <spPr>
              <a:solidFill>
                <a:srgbClr val="8FA2D4"/>
              </a:solidFill>
              <a:ln>
                <a:solidFill>
                  <a:srgbClr val="FFFFFF"/>
                </a:solidFill>
                <a:prstDash val="solid"/>
              </a:ln>
            </spPr>
          </dPt>
          <dLbls>
            <numFmt formatCode="0.0%;;;"/>
            <dLblPos val="bestFit"/>
            <showLegendKey val="0"/>
            <showVal val="0"/>
            <showCatName val="1"/>
            <showSerName val="0"/>
            <showPercent val="1"/>
            <showLeaderLines val="1"/>
            <separator val="&#10;"/>
          </dLbls>
          <cat>
            <strRef>
              <f>'Septiembre 26'!$Z$6:$Z$18</f>
            </strRef>
          </cat>
          <val>
            <numRef>
              <f>'Septiembre 26'!$J$6:$J$18</f>
            </numRef>
          </val>
        </ser>
        <firstSliceAng val="0"/>
      </pieChart>
    </plotArea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Desglose por subcategoría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15A7F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427AAC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6698C4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92B6D5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194D30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>
                <a:srgbClr val="2E8B57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>
                <a:srgbClr val="50C583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>
                <a:srgbClr val="86461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>
                <a:srgbClr val="E3A174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>
                <a:srgbClr val="4E3218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0"/>
            <spPr>
              <a:solidFill>
                <a:srgbClr val="C7884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1"/>
            <spPr>
              <a:solidFill>
                <a:srgbClr val="75231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2"/>
            <spPr>
              <a:solidFill>
                <a:srgbClr val="C0392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3"/>
            <spPr>
              <a:solidFill>
                <a:srgbClr val="DD7469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4"/>
            <spPr>
              <a:solidFill>
                <a:srgbClr val="646464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5"/>
            <spPr>
              <a:solidFill>
                <a:srgbClr val="838383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6"/>
            <spPr>
              <a:solidFill>
                <a:srgbClr val="A1A1A1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7"/>
            <spPr>
              <a:solidFill>
                <a:srgbClr val="C0C0C0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8"/>
            <spPr>
              <a:solidFill>
                <a:srgbClr val="385824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9"/>
            <spPr>
              <a:solidFill>
                <a:srgbClr val="548335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0"/>
            <spPr>
              <a:solidFill>
                <a:srgbClr val="70AF47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1"/>
            <spPr>
              <a:solidFill>
                <a:srgbClr val="90C46E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2"/>
            <spPr>
              <a:solidFill>
                <a:srgbClr val="803E75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3"/>
            <spPr>
              <a:solidFill>
                <a:srgbClr val="B565A7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4"/>
            <spPr>
              <a:solidFill>
                <a:srgbClr val="D3A3C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5"/>
            <spPr>
              <a:solidFill>
                <a:srgbClr val="5089C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6"/>
            <spPr>
              <a:solidFill>
                <a:srgbClr val="C4D7ED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7"/>
            <spPr>
              <a:solidFill>
                <a:srgbClr val="E76938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8"/>
            <spPr>
              <a:solidFill>
                <a:srgbClr val="F1A78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9"/>
            <spPr>
              <a:solidFill>
                <a:srgbClr val="F7CCB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0"/>
            <spPr>
              <a:solidFill>
                <a:srgbClr val="866500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1"/>
            <spPr>
              <a:solidFill>
                <a:srgbClr val="E2AA00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2"/>
            <spPr>
              <a:solidFill>
                <a:srgbClr val="FFCF3F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3"/>
            <spPr>
              <a:solidFill>
                <a:srgbClr val="FFAF28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4"/>
            <spPr>
              <a:solidFill>
                <a:srgbClr val="FFD184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5"/>
            <spPr>
              <a:solidFill>
                <a:srgbClr val="FFE2B2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6"/>
            <spPr>
              <a:solidFill>
                <a:srgbClr val="4D6BB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7"/>
            <spPr>
              <a:solidFill>
                <a:srgbClr val="C8D1EA"/>
              </a:solidFill>
              <a:ln>
                <a:solidFill>
                  <a:srgbClr val="FFFFFF"/>
                </a:solidFill>
                <a:prstDash val="solid"/>
              </a:ln>
            </spPr>
          </dPt>
          <dLbls>
            <numFmt formatCode="0.0%;;;"/>
            <dLblPos val="bestFit"/>
            <showLegendKey val="0"/>
            <showVal val="0"/>
            <showCatName val="1"/>
            <showSerName val="0"/>
            <showPercent val="1"/>
            <showLeaderLines val="1"/>
            <separator val="&#10;"/>
          </dLbls>
          <cat>
            <strRef>
              <f>'Septiembre 26'!$AA$25:$AA$62</f>
            </strRef>
          </cat>
          <val>
            <numRef>
              <f>'Septiembre 26'!$J$25:$J$62</f>
            </numRef>
          </val>
        </ser>
        <firstSliceAng val="0"/>
      </pieChart>
    </plotArea>
    <plotVisOnly val="0"/>
    <dispBlanksAs val="gap"/>
  </chart>
</chartSpace>
</file>

<file path=xl/comments/comment1.xml><?xml version="1.0" encoding="utf-8"?>
<comments xmlns="http://schemas.openxmlformats.org/spreadsheetml/2006/main">
  <authors>
    <author>Plantilla</author>
  </authors>
  <commentList>
    <comment ref="C5" authorId="0" shapeId="0">
      <text>
        <t>Valor de ejemplo. Pon aquí tu nómina del mes.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26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A5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34" customWidth="1" min="4" max="4"/>
    <col width="26" customWidth="1" min="5" max="5"/>
    <col width="26" customWidth="1" min="6" max="6"/>
    <col width="3" customWidth="1" min="7" max="7"/>
    <col width="28" customWidth="1" min="8" max="8"/>
    <col width="26" customWidth="1" min="9" max="9"/>
    <col width="13" customWidth="1" min="10" max="10"/>
    <col width="10" customWidth="1" min="11" max="11"/>
    <col hidden="1" width="13" customWidth="1" min="26" max="26"/>
    <col hidden="1" width="13" customWidth="1" min="27" max="27"/>
  </cols>
  <sheetData>
    <row r="1">
      <c r="B1" s="1" t="inlineStr">
        <is>
          <t>GASTOS PERSONALES · SEPTIEMBRE 26</t>
        </is>
      </c>
    </row>
    <row r="2">
      <c r="B2" s="2" t="inlineStr">
        <is>
          <t>Celdas con texto azul = las rellenas tú. Todo lo demás se calcula solo.</t>
        </is>
      </c>
    </row>
    <row r="4">
      <c r="B4" s="3" t="inlineStr">
        <is>
          <t>INGRESOS Y AHORRO</t>
        </is>
      </c>
      <c r="C4" s="4" t="n"/>
      <c r="D4" s="4" t="n"/>
      <c r="H4" s="3" t="inlineStr">
        <is>
          <t>GASTO POR CATEGORÍA</t>
        </is>
      </c>
      <c r="I4" s="4" t="n"/>
      <c r="J4" s="4" t="n"/>
    </row>
    <row r="5">
      <c r="B5" s="5" t="inlineStr">
        <is>
          <t>Ingreso principal (nómina)</t>
        </is>
      </c>
      <c r="C5" s="6" t="n">
        <v>1500</v>
      </c>
      <c r="D5" s="7" t="inlineStr">
        <is>
          <t>Ejemplo: cámbialo por tu nómina real</t>
        </is>
      </c>
      <c r="H5" s="8" t="inlineStr">
        <is>
          <t>Categoría</t>
        </is>
      </c>
      <c r="I5" s="8" t="inlineStr">
        <is>
          <t>% del gasto</t>
        </is>
      </c>
      <c r="J5" s="8" t="inlineStr">
        <is>
          <t>Total</t>
        </is>
      </c>
      <c r="Z5" t="inlineStr">
        <is>
          <t>etiqueta cat</t>
        </is>
      </c>
    </row>
    <row r="6">
      <c r="B6" s="9" t="inlineStr">
        <is>
          <t>Ingresos secundarios / otras fuentes</t>
        </is>
      </c>
      <c r="H6" s="10" t="inlineStr">
        <is>
          <t>SALUD</t>
        </is>
      </c>
      <c r="I6" s="11">
        <f>IFERROR(J6/$J$19,0)</f>
        <v/>
      </c>
      <c r="J6" s="12">
        <f>SUMIF($E$23:$E$522,H6,$C$23:$C$522)</f>
        <v/>
      </c>
      <c r="Z6">
        <f>IF(J6&gt;0,H6,"")</f>
        <v/>
      </c>
    </row>
    <row r="7">
      <c r="B7" s="13" t="inlineStr">
        <is>
          <t>Ej.: venta Wallapop</t>
        </is>
      </c>
      <c r="C7" s="14" t="n">
        <v>40</v>
      </c>
      <c r="D7" s="7" t="inlineStr">
        <is>
          <t>← escribe el concepto y el importe</t>
        </is>
      </c>
      <c r="H7" s="15" t="inlineStr">
        <is>
          <t>DEPORTE</t>
        </is>
      </c>
      <c r="I7" s="11">
        <f>IFERROR(J7/$J$19,0)</f>
        <v/>
      </c>
      <c r="J7" s="12">
        <f>SUMIF($E$23:$E$522,H7,$C$23:$C$522)</f>
        <v/>
      </c>
      <c r="Z7">
        <f>IF(J7&gt;0,H7,"")</f>
        <v/>
      </c>
    </row>
    <row r="8">
      <c r="B8" s="13" t="n"/>
      <c r="C8" s="14" t="n"/>
      <c r="H8" s="16" t="inlineStr">
        <is>
          <t>COMIDA (SÚPER)</t>
        </is>
      </c>
      <c r="I8" s="11">
        <f>IFERROR(J8/$J$19,0)</f>
        <v/>
      </c>
      <c r="J8" s="12">
        <f>SUMIF($E$23:$E$522,H8,$C$23:$C$522)</f>
        <v/>
      </c>
      <c r="Z8">
        <f>IF(J8&gt;0,H8,"")</f>
        <v/>
      </c>
    </row>
    <row r="9">
      <c r="B9" s="13" t="n"/>
      <c r="C9" s="14" t="n"/>
      <c r="H9" s="17" t="inlineStr">
        <is>
          <t>CAFÉS Y MÁQUINA CURRO</t>
        </is>
      </c>
      <c r="I9" s="11">
        <f>IFERROR(J9/$J$19,0)</f>
        <v/>
      </c>
      <c r="J9" s="12">
        <f>SUMIF($E$23:$E$522,H9,$C$23:$C$522)</f>
        <v/>
      </c>
      <c r="Z9">
        <f>IF(J9&gt;0,H9,"")</f>
        <v/>
      </c>
    </row>
    <row r="10">
      <c r="B10" s="13" t="n"/>
      <c r="C10" s="14" t="n"/>
      <c r="H10" s="18" t="inlineStr">
        <is>
          <t>RESTAURANTES Y TOMAR ALGO</t>
        </is>
      </c>
      <c r="I10" s="11">
        <f>IFERROR(J10/$J$19,0)</f>
        <v/>
      </c>
      <c r="J10" s="12">
        <f>SUMIF($E$23:$E$522,H10,$C$23:$C$522)</f>
        <v/>
      </c>
      <c r="Z10">
        <f>IF(J10&gt;0,H10,"")</f>
        <v/>
      </c>
    </row>
    <row r="11">
      <c r="B11" s="19" t="inlineStr">
        <is>
          <t>Total ingresos secundarios</t>
        </is>
      </c>
      <c r="C11" s="20">
        <f>SUM(C7:C10)</f>
        <v/>
      </c>
      <c r="H11" s="21" t="inlineStr">
        <is>
          <t>SERVICIOS</t>
        </is>
      </c>
      <c r="I11" s="11">
        <f>IFERROR(J11/$J$19,0)</f>
        <v/>
      </c>
      <c r="J11" s="12">
        <f>SUMIF($E$23:$E$522,H11,$C$23:$C$522)</f>
        <v/>
      </c>
      <c r="Z11">
        <f>IF(J11&gt;0,H11,"")</f>
        <v/>
      </c>
    </row>
    <row r="12">
      <c r="B12" s="22" t="inlineStr">
        <is>
          <t>INGRESOS TOTALES</t>
        </is>
      </c>
      <c r="C12" s="23">
        <f>C5+C11</f>
        <v/>
      </c>
      <c r="H12" s="24" t="inlineStr">
        <is>
          <t>OCIO</t>
        </is>
      </c>
      <c r="I12" s="11">
        <f>IFERROR(J12/$J$19,0)</f>
        <v/>
      </c>
      <c r="J12" s="12">
        <f>SUMIF($E$23:$E$522,H12,$C$23:$C$522)</f>
        <v/>
      </c>
      <c r="Z12">
        <f>IF(J12&gt;0,H12,"")</f>
        <v/>
      </c>
    </row>
    <row r="13">
      <c r="B13" s="25" t="inlineStr">
        <is>
          <t>GASTOS TOTALES</t>
        </is>
      </c>
      <c r="C13" s="26">
        <f>J19</f>
        <v/>
      </c>
      <c r="D13" s="7" t="inlineStr">
        <is>
          <t>Todas las categorías salvo inversión</t>
        </is>
      </c>
      <c r="H13" s="27" t="inlineStr">
        <is>
          <t>ROPA</t>
        </is>
      </c>
      <c r="I13" s="11">
        <f>IFERROR(J13/$J$19,0)</f>
        <v/>
      </c>
      <c r="J13" s="12">
        <f>SUMIF($E$23:$E$522,H13,$C$23:$C$522)</f>
        <v/>
      </c>
      <c r="Z13">
        <f>IF(J13&gt;0,H13,"")</f>
        <v/>
      </c>
    </row>
    <row r="14">
      <c r="B14" s="28" t="inlineStr">
        <is>
          <t>Inversión del mes</t>
        </is>
      </c>
      <c r="C14" s="29">
        <f>J21</f>
        <v/>
      </c>
      <c r="D14" s="7" t="inlineStr">
        <is>
          <t>No cuenta como gasto: es dinero que sigue siendo tuyo</t>
        </is>
      </c>
      <c r="H14" s="30" t="inlineStr">
        <is>
          <t>ELECTRÓNICA</t>
        </is>
      </c>
      <c r="I14" s="11">
        <f>IFERROR(J14/$J$19,0)</f>
        <v/>
      </c>
      <c r="J14" s="12">
        <f>SUMIF($E$23:$E$522,H14,$C$23:$C$522)</f>
        <v/>
      </c>
      <c r="Z14">
        <f>IF(J14&gt;0,H14,"")</f>
        <v/>
      </c>
    </row>
    <row r="15">
      <c r="B15" s="28" t="inlineStr">
        <is>
          <t>Objetivo de ahorro (%)</t>
        </is>
      </c>
      <c r="C15" s="31" t="n">
        <v>0.7</v>
      </c>
      <c r="D15" s="7" t="inlineStr">
        <is>
          <t>Objetivo: 70% de los ingresos totales</t>
        </is>
      </c>
      <c r="H15" s="32" t="inlineStr">
        <is>
          <t>CASA</t>
        </is>
      </c>
      <c r="I15" s="11">
        <f>IFERROR(J15/$J$19,0)</f>
        <v/>
      </c>
      <c r="J15" s="12">
        <f>SUMIF($E$23:$E$522,H15,$C$23:$C$522)</f>
        <v/>
      </c>
      <c r="Z15">
        <f>IF(J15&gt;0,H15,"")</f>
        <v/>
      </c>
    </row>
    <row r="16">
      <c r="B16" s="33" t="inlineStr">
        <is>
          <t>Ahorro objetivo</t>
        </is>
      </c>
      <c r="C16" s="34">
        <f>C12*C15</f>
        <v/>
      </c>
      <c r="H16" s="35" t="inlineStr">
        <is>
          <t>REGALOS</t>
        </is>
      </c>
      <c r="I16" s="11">
        <f>IFERROR(J16/$J$19,0)</f>
        <v/>
      </c>
      <c r="J16" s="12">
        <f>SUMIF($E$23:$E$522,H16,$C$23:$C$522)</f>
        <v/>
      </c>
      <c r="Z16">
        <f>IF(J16&gt;0,H16,"")</f>
        <v/>
      </c>
    </row>
    <row r="17">
      <c r="B17" s="33" t="inlineStr">
        <is>
          <t>Ahorro real</t>
        </is>
      </c>
      <c r="C17" s="34">
        <f>C12-C13</f>
        <v/>
      </c>
      <c r="D17" s="7" t="inlineStr">
        <is>
          <t>Ingresos totales − gastos totales</t>
        </is>
      </c>
      <c r="H17" s="36" t="inlineStr">
        <is>
          <t>ESTUDIO</t>
        </is>
      </c>
      <c r="I17" s="11">
        <f>IFERROR(J17/$J$19,0)</f>
        <v/>
      </c>
      <c r="J17" s="12">
        <f>SUMIF($E$23:$E$522,H17,$C$23:$C$522)</f>
        <v/>
      </c>
      <c r="Z17">
        <f>IF(J17&gt;0,H17,"")</f>
        <v/>
      </c>
    </row>
    <row r="18">
      <c r="B18" s="28" t="inlineStr">
        <is>
          <t>% de ahorro real</t>
        </is>
      </c>
      <c r="C18" s="37">
        <f>IFERROR(C17/C12,0)</f>
        <v/>
      </c>
      <c r="H18" s="38" t="inlineStr">
        <is>
          <t>VARIOS</t>
        </is>
      </c>
      <c r="I18" s="11">
        <f>IFERROR(J18/$J$19,0)</f>
        <v/>
      </c>
      <c r="J18" s="12">
        <f>SUMIF($E$23:$E$522,H18,$C$23:$C$522)</f>
        <v/>
      </c>
      <c r="Z18">
        <f>IF(J18&gt;0,H18,"")</f>
        <v/>
      </c>
    </row>
    <row r="19">
      <c r="B19" s="33" t="inlineStr">
        <is>
          <t>DIFERENCIA VS OBJETIVO</t>
        </is>
      </c>
      <c r="C19" s="39">
        <f>C17-C16</f>
        <v/>
      </c>
      <c r="D19" s="7" t="inlineStr">
        <is>
          <t>Verde y + = ahorras más que el objetivo · Rojo y − = ahorras menos</t>
        </is>
      </c>
      <c r="H19" s="8" t="inlineStr">
        <is>
          <t>TOTAL GASTOS</t>
        </is>
      </c>
      <c r="I19" s="40">
        <f>SUM(I6:I18)</f>
        <v/>
      </c>
      <c r="J19" s="41">
        <f>SUM(J6:J18)</f>
        <v/>
      </c>
    </row>
    <row r="21">
      <c r="B21" s="42" t="inlineStr">
        <is>
          <t>MOVIMIENTOS (gastos e inversiones del mes)</t>
        </is>
      </c>
      <c r="H21" s="43" t="inlineStr">
        <is>
          <t>INVERSIÓN (aparte)</t>
        </is>
      </c>
      <c r="I21" s="44" t="n"/>
      <c r="J21" s="12">
        <f>SUMIF($E$23:$E$522,"INVERSIÓN",$C$23:$C$522)</f>
        <v/>
      </c>
    </row>
    <row r="22">
      <c r="B22" s="45" t="inlineStr">
        <is>
          <t>Fecha</t>
        </is>
      </c>
      <c r="C22" s="45" t="inlineStr">
        <is>
          <t>Importe</t>
        </is>
      </c>
      <c r="D22" s="45" t="inlineStr">
        <is>
          <t>Descripción</t>
        </is>
      </c>
      <c r="E22" s="45" t="inlineStr">
        <is>
          <t>Categoría</t>
        </is>
      </c>
      <c r="F22" s="45" t="inlineStr">
        <is>
          <t>Subcategoría</t>
        </is>
      </c>
    </row>
    <row r="23">
      <c r="B23" s="46" t="n"/>
      <c r="C23" s="14" t="n">
        <v>27</v>
      </c>
      <c r="D23" s="13" t="inlineStr">
        <is>
          <t>gym</t>
        </is>
      </c>
      <c r="E23" s="13" t="inlineStr">
        <is>
          <t>DEPORTE</t>
        </is>
      </c>
      <c r="F23" s="13" t="inlineStr">
        <is>
          <t>Gimnasio</t>
        </is>
      </c>
      <c r="H23" s="3" t="inlineStr">
        <is>
          <t>DESGLOSE POR SUBCATEGORÍA</t>
        </is>
      </c>
      <c r="I23" s="4" t="n"/>
      <c r="J23" s="4" t="n"/>
      <c r="K23" s="4" t="n"/>
    </row>
    <row r="24">
      <c r="B24" s="46" t="n"/>
      <c r="C24" s="14" t="n">
        <v>8</v>
      </c>
      <c r="D24" s="13" t="inlineStr">
        <is>
          <t>bono bus</t>
        </is>
      </c>
      <c r="E24" s="13" t="inlineStr">
        <is>
          <t>SERVICIOS</t>
        </is>
      </c>
      <c r="F24" s="13" t="inlineStr">
        <is>
          <t>Transporte</t>
        </is>
      </c>
      <c r="H24" s="8" t="inlineStr">
        <is>
          <t>Categoría</t>
        </is>
      </c>
      <c r="I24" s="8" t="inlineStr">
        <is>
          <t>Subcategoría</t>
        </is>
      </c>
      <c r="J24" s="8" t="inlineStr">
        <is>
          <t>Total</t>
        </is>
      </c>
      <c r="K24" s="8" t="inlineStr">
        <is>
          <t>% gasto</t>
        </is>
      </c>
      <c r="AA24" t="inlineStr">
        <is>
          <t>etiqueta sub</t>
        </is>
      </c>
    </row>
    <row r="25">
      <c r="B25" s="46" t="n"/>
      <c r="C25" s="14" t="n">
        <v>6.5</v>
      </c>
      <c r="D25" s="13" t="inlineStr">
        <is>
          <t>spoti premium</t>
        </is>
      </c>
      <c r="E25" s="13" t="inlineStr">
        <is>
          <t>SERVICIOS</t>
        </is>
      </c>
      <c r="F25" s="13" t="inlineStr">
        <is>
          <t>Suscripciones</t>
        </is>
      </c>
      <c r="H25" s="47" t="inlineStr">
        <is>
          <t>SALUD</t>
        </is>
      </c>
      <c r="I25" s="48" t="inlineStr">
        <is>
          <t>Medicamentos</t>
        </is>
      </c>
      <c r="J25" s="12">
        <f>SUMIFS($C$23:$C$522,$E$23:$E$522,H25,$F$23:$F$522,I25)</f>
        <v/>
      </c>
      <c r="K25" s="11">
        <f>IFERROR(J25/$J$19,0)</f>
        <v/>
      </c>
      <c r="AA25">
        <f>IF(J25&gt;0,I25,"")</f>
        <v/>
      </c>
    </row>
    <row r="26">
      <c r="B26" s="46" t="n"/>
      <c r="C26" s="14" t="n">
        <v>21.78</v>
      </c>
      <c r="D26" s="13" t="inlineStr">
        <is>
          <t>claude pro</t>
        </is>
      </c>
      <c r="E26" s="13" t="inlineStr">
        <is>
          <t>ESTUDIO</t>
        </is>
      </c>
      <c r="F26" s="13" t="inlineStr">
        <is>
          <t>Herramientas IA / software</t>
        </is>
      </c>
      <c r="H26" s="47" t="inlineStr">
        <is>
          <t>SALUD</t>
        </is>
      </c>
      <c r="I26" s="49" t="inlineStr">
        <is>
          <t>Médico / dentista</t>
        </is>
      </c>
      <c r="J26" s="12">
        <f>SUMIFS($C$23:$C$522,$E$23:$E$522,H26,$F$23:$F$522,I26)</f>
        <v/>
      </c>
      <c r="K26" s="11">
        <f>IFERROR(J26/$J$19,0)</f>
        <v/>
      </c>
      <c r="AA26">
        <f>IF(J26&gt;0,I26,"")</f>
        <v/>
      </c>
    </row>
    <row r="27">
      <c r="B27" s="46" t="n"/>
      <c r="C27" s="14" t="n">
        <v>50</v>
      </c>
      <c r="D27" s="13" t="inlineStr">
        <is>
          <t>reformas casa</t>
        </is>
      </c>
      <c r="E27" s="13" t="inlineStr">
        <is>
          <t>CASA</t>
        </is>
      </c>
      <c r="F27" s="13" t="inlineStr">
        <is>
          <t>Reformas</t>
        </is>
      </c>
      <c r="H27" s="47" t="inlineStr">
        <is>
          <t>SALUD</t>
        </is>
      </c>
      <c r="I27" s="50" t="inlineStr">
        <is>
          <t>Óptica</t>
        </is>
      </c>
      <c r="J27" s="12">
        <f>SUMIFS($C$23:$C$522,$E$23:$E$522,H27,$F$23:$F$522,I27)</f>
        <v/>
      </c>
      <c r="K27" s="11">
        <f>IFERROR(J27/$J$19,0)</f>
        <v/>
      </c>
      <c r="AA27">
        <f>IF(J27&gt;0,I27,"")</f>
        <v/>
      </c>
    </row>
    <row r="28">
      <c r="B28" s="46" t="n"/>
      <c r="C28" s="14" t="n">
        <v>15.61</v>
      </c>
      <c r="D28" s="13" t="inlineStr">
        <is>
          <t>juego steam</t>
        </is>
      </c>
      <c r="E28" s="13" t="inlineStr">
        <is>
          <t>OCIO</t>
        </is>
      </c>
      <c r="F28" s="13" t="inlineStr">
        <is>
          <t>Videojuegos</t>
        </is>
      </c>
      <c r="H28" s="47" t="inlineStr">
        <is>
          <t>SALUD</t>
        </is>
      </c>
      <c r="I28" s="51" t="inlineStr">
        <is>
          <t>Otros salud</t>
        </is>
      </c>
      <c r="J28" s="12">
        <f>SUMIFS($C$23:$C$522,$E$23:$E$522,H28,$F$23:$F$522,I28)</f>
        <v/>
      </c>
      <c r="K28" s="11">
        <f>IFERROR(J28/$J$19,0)</f>
        <v/>
      </c>
      <c r="AA28">
        <f>IF(J28&gt;0,I28,"")</f>
        <v/>
      </c>
    </row>
    <row r="29">
      <c r="B29" s="46" t="n"/>
      <c r="C29" s="14" t="n">
        <v>0.9</v>
      </c>
      <c r="D29" s="13" t="inlineStr">
        <is>
          <t>cafes (6) curro</t>
        </is>
      </c>
      <c r="E29" s="13" t="inlineStr">
        <is>
          <t>CAFÉS Y MÁQUINA CURRO</t>
        </is>
      </c>
      <c r="F29" s="13" t="inlineStr">
        <is>
          <t>Cafés</t>
        </is>
      </c>
      <c r="H29" s="52" t="inlineStr">
        <is>
          <t>DEPORTE</t>
        </is>
      </c>
      <c r="I29" s="53" t="inlineStr">
        <is>
          <t>Gimnasio</t>
        </is>
      </c>
      <c r="J29" s="12">
        <f>SUMIFS($C$23:$C$522,$E$23:$E$522,H29,$F$23:$F$522,I29)</f>
        <v/>
      </c>
      <c r="K29" s="11">
        <f>IFERROR(J29/$J$19,0)</f>
        <v/>
      </c>
      <c r="AA29">
        <f>IF(J29&gt;0,I29,"")</f>
        <v/>
      </c>
    </row>
    <row r="30">
      <c r="B30" s="46" t="n"/>
      <c r="C30" s="14" t="n">
        <v>1.3</v>
      </c>
      <c r="D30" s="13" t="inlineStr">
        <is>
          <t>donetes</t>
        </is>
      </c>
      <c r="E30" s="13" t="inlineStr">
        <is>
          <t>CAFÉS Y MÁQUINA CURRO</t>
        </is>
      </c>
      <c r="F30" s="13" t="inlineStr">
        <is>
          <t>Máquina curro</t>
        </is>
      </c>
      <c r="H30" s="52" t="inlineStr">
        <is>
          <t>DEPORTE</t>
        </is>
      </c>
      <c r="I30" s="54" t="inlineStr">
        <is>
          <t>Material deportivo</t>
        </is>
      </c>
      <c r="J30" s="12">
        <f>SUMIFS($C$23:$C$522,$E$23:$E$522,H30,$F$23:$F$522,I30)</f>
        <v/>
      </c>
      <c r="K30" s="11">
        <f>IFERROR(J30/$J$19,0)</f>
        <v/>
      </c>
      <c r="AA30">
        <f>IF(J30&gt;0,I30,"")</f>
        <v/>
      </c>
    </row>
    <row r="31">
      <c r="B31" s="46" t="n"/>
      <c r="C31" s="14" t="n">
        <v>6.95</v>
      </c>
      <c r="D31" s="13" t="inlineStr">
        <is>
          <t>ibuprofeno (ejemplo, bórralo)</t>
        </is>
      </c>
      <c r="E31" s="13" t="inlineStr">
        <is>
          <t>SALUD</t>
        </is>
      </c>
      <c r="F31" s="13" t="inlineStr">
        <is>
          <t>Medicamentos</t>
        </is>
      </c>
      <c r="H31" s="52" t="inlineStr">
        <is>
          <t>DEPORTE</t>
        </is>
      </c>
      <c r="I31" s="55" t="inlineStr">
        <is>
          <t>Actividades / competiciones</t>
        </is>
      </c>
      <c r="J31" s="12">
        <f>SUMIFS($C$23:$C$522,$E$23:$E$522,H31,$F$23:$F$522,I31)</f>
        <v/>
      </c>
      <c r="K31" s="11">
        <f>IFERROR(J31/$J$19,0)</f>
        <v/>
      </c>
      <c r="AA31">
        <f>IF(J31&gt;0,I31,"")</f>
        <v/>
      </c>
    </row>
    <row r="32">
      <c r="B32" s="46" t="n"/>
      <c r="C32" s="14" t="n">
        <v>12.5</v>
      </c>
      <c r="D32" s="13" t="inlineStr">
        <is>
          <t>cañas con amigos (ejemplo, bórralo)</t>
        </is>
      </c>
      <c r="E32" s="13" t="inlineStr">
        <is>
          <t>RESTAURANTES Y TOMAR ALGO</t>
        </is>
      </c>
      <c r="F32" s="13" t="inlineStr">
        <is>
          <t>Tomar algo</t>
        </is>
      </c>
      <c r="H32" s="56" t="inlineStr">
        <is>
          <t>COMIDA (SÚPER)</t>
        </is>
      </c>
      <c r="I32" s="57" t="inlineStr">
        <is>
          <t>Supermercado</t>
        </is>
      </c>
      <c r="J32" s="12">
        <f>SUMIFS($C$23:$C$522,$E$23:$E$522,H32,$F$23:$F$522,I32)</f>
        <v/>
      </c>
      <c r="K32" s="11">
        <f>IFERROR(J32/$J$19,0)</f>
        <v/>
      </c>
      <c r="AA32">
        <f>IF(J32&gt;0,I32,"")</f>
        <v/>
      </c>
    </row>
    <row r="33">
      <c r="B33" s="46" t="n"/>
      <c r="C33" s="14" t="n"/>
      <c r="D33" s="13" t="n"/>
      <c r="E33" s="13" t="n"/>
      <c r="F33" s="13" t="n"/>
      <c r="H33" s="56" t="inlineStr">
        <is>
          <t>COMIDA (SÚPER)</t>
        </is>
      </c>
      <c r="I33" s="58" t="inlineStr">
        <is>
          <t>Snacks / otros</t>
        </is>
      </c>
      <c r="J33" s="12">
        <f>SUMIFS($C$23:$C$522,$E$23:$E$522,H33,$F$23:$F$522,I33)</f>
        <v/>
      </c>
      <c r="K33" s="11">
        <f>IFERROR(J33/$J$19,0)</f>
        <v/>
      </c>
      <c r="AA33">
        <f>IF(J33&gt;0,I33,"")</f>
        <v/>
      </c>
    </row>
    <row r="34">
      <c r="B34" s="46" t="n"/>
      <c r="C34" s="14" t="n"/>
      <c r="D34" s="13" t="n"/>
      <c r="E34" s="13" t="n"/>
      <c r="F34" s="13" t="n"/>
      <c r="H34" s="59" t="inlineStr">
        <is>
          <t>CAFÉS Y MÁQUINA CURRO</t>
        </is>
      </c>
      <c r="I34" s="60" t="inlineStr">
        <is>
          <t>Cafés</t>
        </is>
      </c>
      <c r="J34" s="12">
        <f>SUMIFS($C$23:$C$522,$E$23:$E$522,H34,$F$23:$F$522,I34)</f>
        <v/>
      </c>
      <c r="K34" s="11">
        <f>IFERROR(J34/$J$19,0)</f>
        <v/>
      </c>
      <c r="AA34">
        <f>IF(J34&gt;0,I34,"")</f>
        <v/>
      </c>
    </row>
    <row r="35">
      <c r="B35" s="46" t="n"/>
      <c r="C35" s="14" t="n"/>
      <c r="D35" s="13" t="n"/>
      <c r="E35" s="13" t="n"/>
      <c r="F35" s="13" t="n"/>
      <c r="H35" s="59" t="inlineStr">
        <is>
          <t>CAFÉS Y MÁQUINA CURRO</t>
        </is>
      </c>
      <c r="I35" s="61" t="inlineStr">
        <is>
          <t>Máquina curro</t>
        </is>
      </c>
      <c r="J35" s="12">
        <f>SUMIFS($C$23:$C$522,$E$23:$E$522,H35,$F$23:$F$522,I35)</f>
        <v/>
      </c>
      <c r="K35" s="11">
        <f>IFERROR(J35/$J$19,0)</f>
        <v/>
      </c>
      <c r="AA35">
        <f>IF(J35&gt;0,I35,"")</f>
        <v/>
      </c>
    </row>
    <row r="36">
      <c r="B36" s="46" t="n"/>
      <c r="C36" s="14" t="n"/>
      <c r="D36" s="13" t="n"/>
      <c r="E36" s="13" t="n"/>
      <c r="F36" s="13" t="n"/>
      <c r="H36" s="62" t="inlineStr">
        <is>
          <t>RESTAURANTES Y TOMAR ALGO</t>
        </is>
      </c>
      <c r="I36" s="63" t="inlineStr">
        <is>
          <t>Restaurante</t>
        </is>
      </c>
      <c r="J36" s="12">
        <f>SUMIFS($C$23:$C$522,$E$23:$E$522,H36,$F$23:$F$522,I36)</f>
        <v/>
      </c>
      <c r="K36" s="11">
        <f>IFERROR(J36/$J$19,0)</f>
        <v/>
      </c>
      <c r="AA36">
        <f>IF(J36&gt;0,I36,"")</f>
        <v/>
      </c>
    </row>
    <row r="37">
      <c r="B37" s="46" t="n"/>
      <c r="C37" s="14" t="n"/>
      <c r="D37" s="13" t="n"/>
      <c r="E37" s="13" t="n"/>
      <c r="F37" s="13" t="n"/>
      <c r="H37" s="62" t="inlineStr">
        <is>
          <t>RESTAURANTES Y TOMAR ALGO</t>
        </is>
      </c>
      <c r="I37" s="64" t="inlineStr">
        <is>
          <t>Tomar algo</t>
        </is>
      </c>
      <c r="J37" s="12">
        <f>SUMIFS($C$23:$C$522,$E$23:$E$522,H37,$F$23:$F$522,I37)</f>
        <v/>
      </c>
      <c r="K37" s="11">
        <f>IFERROR(J37/$J$19,0)</f>
        <v/>
      </c>
      <c r="AA37">
        <f>IF(J37&gt;0,I37,"")</f>
        <v/>
      </c>
    </row>
    <row r="38">
      <c r="B38" s="46" t="n"/>
      <c r="C38" s="14" t="n"/>
      <c r="D38" s="13" t="n"/>
      <c r="E38" s="13" t="n"/>
      <c r="F38" s="13" t="n"/>
      <c r="H38" s="62" t="inlineStr">
        <is>
          <t>RESTAURANTES Y TOMAR ALGO</t>
        </is>
      </c>
      <c r="I38" s="65" t="inlineStr">
        <is>
          <t>Comida a domicilio</t>
        </is>
      </c>
      <c r="J38" s="12">
        <f>SUMIFS($C$23:$C$522,$E$23:$E$522,H38,$F$23:$F$522,I38)</f>
        <v/>
      </c>
      <c r="K38" s="11">
        <f>IFERROR(J38/$J$19,0)</f>
        <v/>
      </c>
      <c r="AA38">
        <f>IF(J38&gt;0,I38,"")</f>
        <v/>
      </c>
    </row>
    <row r="39">
      <c r="B39" s="46" t="n"/>
      <c r="C39" s="14" t="n"/>
      <c r="D39" s="13" t="n"/>
      <c r="E39" s="13" t="n"/>
      <c r="F39" s="13" t="n"/>
      <c r="H39" s="66" t="inlineStr">
        <is>
          <t>SERVICIOS</t>
        </is>
      </c>
      <c r="I39" s="67" t="inlineStr">
        <is>
          <t>Transporte</t>
        </is>
      </c>
      <c r="J39" s="12">
        <f>SUMIFS($C$23:$C$522,$E$23:$E$522,H39,$F$23:$F$522,I39)</f>
        <v/>
      </c>
      <c r="K39" s="11">
        <f>IFERROR(J39/$J$19,0)</f>
        <v/>
      </c>
      <c r="AA39">
        <f>IF(J39&gt;0,I39,"")</f>
        <v/>
      </c>
    </row>
    <row r="40">
      <c r="B40" s="46" t="n"/>
      <c r="C40" s="14" t="n"/>
      <c r="D40" s="13" t="n"/>
      <c r="E40" s="13" t="n"/>
      <c r="F40" s="13" t="n"/>
      <c r="H40" s="66" t="inlineStr">
        <is>
          <t>SERVICIOS</t>
        </is>
      </c>
      <c r="I40" s="68" t="inlineStr">
        <is>
          <t>Suscripciones</t>
        </is>
      </c>
      <c r="J40" s="12">
        <f>SUMIFS($C$23:$C$522,$E$23:$E$522,H40,$F$23:$F$522,I40)</f>
        <v/>
      </c>
      <c r="K40" s="11">
        <f>IFERROR(J40/$J$19,0)</f>
        <v/>
      </c>
      <c r="AA40">
        <f>IF(J40&gt;0,I40,"")</f>
        <v/>
      </c>
    </row>
    <row r="41">
      <c r="B41" s="46" t="n"/>
      <c r="C41" s="14" t="n"/>
      <c r="D41" s="13" t="n"/>
      <c r="E41" s="13" t="n"/>
      <c r="F41" s="13" t="n"/>
      <c r="H41" s="66" t="inlineStr">
        <is>
          <t>SERVICIOS</t>
        </is>
      </c>
      <c r="I41" s="69" t="inlineStr">
        <is>
          <t>Facturas (luz, móvil...)</t>
        </is>
      </c>
      <c r="J41" s="12">
        <f>SUMIFS($C$23:$C$522,$E$23:$E$522,H41,$F$23:$F$522,I41)</f>
        <v/>
      </c>
      <c r="K41" s="11">
        <f>IFERROR(J41/$J$19,0)</f>
        <v/>
      </c>
      <c r="AA41">
        <f>IF(J41&gt;0,I41,"")</f>
        <v/>
      </c>
    </row>
    <row r="42">
      <c r="B42" s="46" t="n"/>
      <c r="C42" s="14" t="n"/>
      <c r="D42" s="13" t="n"/>
      <c r="E42" s="13" t="n"/>
      <c r="F42" s="13" t="n"/>
      <c r="H42" s="66" t="inlineStr">
        <is>
          <t>SERVICIOS</t>
        </is>
      </c>
      <c r="I42" s="70" t="inlineStr">
        <is>
          <t>Impuestos</t>
        </is>
      </c>
      <c r="J42" s="12">
        <f>SUMIFS($C$23:$C$522,$E$23:$E$522,H42,$F$23:$F$522,I42)</f>
        <v/>
      </c>
      <c r="K42" s="11">
        <f>IFERROR(J42/$J$19,0)</f>
        <v/>
      </c>
      <c r="AA42">
        <f>IF(J42&gt;0,I42,"")</f>
        <v/>
      </c>
    </row>
    <row r="43">
      <c r="B43" s="46" t="n"/>
      <c r="C43" s="14" t="n"/>
      <c r="D43" s="13" t="n"/>
      <c r="E43" s="13" t="n"/>
      <c r="F43" s="13" t="n"/>
      <c r="H43" s="71" t="inlineStr">
        <is>
          <t>OCIO</t>
        </is>
      </c>
      <c r="I43" s="72" t="inlineStr">
        <is>
          <t>Videojuegos</t>
        </is>
      </c>
      <c r="J43" s="12">
        <f>SUMIFS($C$23:$C$522,$E$23:$E$522,H43,$F$23:$F$522,I43)</f>
        <v/>
      </c>
      <c r="K43" s="11">
        <f>IFERROR(J43/$J$19,0)</f>
        <v/>
      </c>
      <c r="AA43">
        <f>IF(J43&gt;0,I43,"")</f>
        <v/>
      </c>
    </row>
    <row r="44">
      <c r="B44" s="46" t="n"/>
      <c r="C44" s="14" t="n"/>
      <c r="D44" s="13" t="n"/>
      <c r="E44" s="13" t="n"/>
      <c r="F44" s="13" t="n"/>
      <c r="H44" s="71" t="inlineStr">
        <is>
          <t>OCIO</t>
        </is>
      </c>
      <c r="I44" s="73" t="inlineStr">
        <is>
          <t>Cine / conciertos</t>
        </is>
      </c>
      <c r="J44" s="12">
        <f>SUMIFS($C$23:$C$522,$E$23:$E$522,H44,$F$23:$F$522,I44)</f>
        <v/>
      </c>
      <c r="K44" s="11">
        <f>IFERROR(J44/$J$19,0)</f>
        <v/>
      </c>
      <c r="AA44">
        <f>IF(J44&gt;0,I44,"")</f>
        <v/>
      </c>
    </row>
    <row r="45">
      <c r="B45" s="46" t="n"/>
      <c r="C45" s="14" t="n"/>
      <c r="D45" s="13" t="n"/>
      <c r="E45" s="13" t="n"/>
      <c r="F45" s="13" t="n"/>
      <c r="H45" s="71" t="inlineStr">
        <is>
          <t>OCIO</t>
        </is>
      </c>
      <c r="I45" s="74" t="inlineStr">
        <is>
          <t>Fiesta / salidas</t>
        </is>
      </c>
      <c r="J45" s="12">
        <f>SUMIFS($C$23:$C$522,$E$23:$E$522,H45,$F$23:$F$522,I45)</f>
        <v/>
      </c>
      <c r="K45" s="11">
        <f>IFERROR(J45/$J$19,0)</f>
        <v/>
      </c>
      <c r="AA45">
        <f>IF(J45&gt;0,I45,"")</f>
        <v/>
      </c>
    </row>
    <row r="46">
      <c r="B46" s="46" t="n"/>
      <c r="C46" s="14" t="n"/>
      <c r="D46" s="13" t="n"/>
      <c r="E46" s="13" t="n"/>
      <c r="F46" s="13" t="n"/>
      <c r="H46" s="71" t="inlineStr">
        <is>
          <t>OCIO</t>
        </is>
      </c>
      <c r="I46" s="75" t="inlineStr">
        <is>
          <t>Otros ocio</t>
        </is>
      </c>
      <c r="J46" s="12">
        <f>SUMIFS($C$23:$C$522,$E$23:$E$522,H46,$F$23:$F$522,I46)</f>
        <v/>
      </c>
      <c r="K46" s="11">
        <f>IFERROR(J46/$J$19,0)</f>
        <v/>
      </c>
      <c r="AA46">
        <f>IF(J46&gt;0,I46,"")</f>
        <v/>
      </c>
    </row>
    <row r="47">
      <c r="B47" s="46" t="n"/>
      <c r="C47" s="14" t="n"/>
      <c r="D47" s="13" t="n"/>
      <c r="E47" s="13" t="n"/>
      <c r="F47" s="13" t="n"/>
      <c r="H47" s="76" t="inlineStr">
        <is>
          <t>ROPA</t>
        </is>
      </c>
      <c r="I47" s="77" t="inlineStr">
        <is>
          <t>Ropa</t>
        </is>
      </c>
      <c r="J47" s="12">
        <f>SUMIFS($C$23:$C$522,$E$23:$E$522,H47,$F$23:$F$522,I47)</f>
        <v/>
      </c>
      <c r="K47" s="11">
        <f>IFERROR(J47/$J$19,0)</f>
        <v/>
      </c>
      <c r="AA47">
        <f>IF(J47&gt;0,I47,"")</f>
        <v/>
      </c>
    </row>
    <row r="48">
      <c r="B48" s="46" t="n"/>
      <c r="C48" s="14" t="n"/>
      <c r="D48" s="13" t="n"/>
      <c r="E48" s="13" t="n"/>
      <c r="F48" s="13" t="n"/>
      <c r="H48" s="76" t="inlineStr">
        <is>
          <t>ROPA</t>
        </is>
      </c>
      <c r="I48" s="78" t="inlineStr">
        <is>
          <t>Calzado</t>
        </is>
      </c>
      <c r="J48" s="12">
        <f>SUMIFS($C$23:$C$522,$E$23:$E$522,H48,$F$23:$F$522,I48)</f>
        <v/>
      </c>
      <c r="K48" s="11">
        <f>IFERROR(J48/$J$19,0)</f>
        <v/>
      </c>
      <c r="AA48">
        <f>IF(J48&gt;0,I48,"")</f>
        <v/>
      </c>
    </row>
    <row r="49">
      <c r="B49" s="46" t="n"/>
      <c r="C49" s="14" t="n"/>
      <c r="D49" s="13" t="n"/>
      <c r="E49" s="13" t="n"/>
      <c r="F49" s="13" t="n"/>
      <c r="H49" s="76" t="inlineStr">
        <is>
          <t>ROPA</t>
        </is>
      </c>
      <c r="I49" s="79" t="inlineStr">
        <is>
          <t>Accesorios</t>
        </is>
      </c>
      <c r="J49" s="12">
        <f>SUMIFS($C$23:$C$522,$E$23:$E$522,H49,$F$23:$F$522,I49)</f>
        <v/>
      </c>
      <c r="K49" s="11">
        <f>IFERROR(J49/$J$19,0)</f>
        <v/>
      </c>
      <c r="AA49">
        <f>IF(J49&gt;0,I49,"")</f>
        <v/>
      </c>
    </row>
    <row r="50">
      <c r="B50" s="46" t="n"/>
      <c r="C50" s="14" t="n"/>
      <c r="D50" s="13" t="n"/>
      <c r="E50" s="13" t="n"/>
      <c r="F50" s="13" t="n"/>
      <c r="H50" s="80" t="inlineStr">
        <is>
          <t>ELECTRÓNICA</t>
        </is>
      </c>
      <c r="I50" s="81" t="inlineStr">
        <is>
          <t>Dispositivos</t>
        </is>
      </c>
      <c r="J50" s="12">
        <f>SUMIFS($C$23:$C$522,$E$23:$E$522,H50,$F$23:$F$522,I50)</f>
        <v/>
      </c>
      <c r="K50" s="11">
        <f>IFERROR(J50/$J$19,0)</f>
        <v/>
      </c>
      <c r="AA50">
        <f>IF(J50&gt;0,I50,"")</f>
        <v/>
      </c>
    </row>
    <row r="51">
      <c r="B51" s="46" t="n"/>
      <c r="C51" s="14" t="n"/>
      <c r="D51" s="13" t="n"/>
      <c r="E51" s="13" t="n"/>
      <c r="F51" s="13" t="n"/>
      <c r="H51" s="80" t="inlineStr">
        <is>
          <t>ELECTRÓNICA</t>
        </is>
      </c>
      <c r="I51" s="82" t="inlineStr">
        <is>
          <t>Accesorios / periféricos</t>
        </is>
      </c>
      <c r="J51" s="12">
        <f>SUMIFS($C$23:$C$522,$E$23:$E$522,H51,$F$23:$F$522,I51)</f>
        <v/>
      </c>
      <c r="K51" s="11">
        <f>IFERROR(J51/$J$19,0)</f>
        <v/>
      </c>
      <c r="AA51">
        <f>IF(J51&gt;0,I51,"")</f>
        <v/>
      </c>
    </row>
    <row r="52">
      <c r="B52" s="46" t="n"/>
      <c r="C52" s="14" t="n"/>
      <c r="D52" s="13" t="n"/>
      <c r="E52" s="13" t="n"/>
      <c r="F52" s="13" t="n"/>
      <c r="H52" s="83" t="inlineStr">
        <is>
          <t>CASA</t>
        </is>
      </c>
      <c r="I52" s="84" t="inlineStr">
        <is>
          <t>Reformas</t>
        </is>
      </c>
      <c r="J52" s="12">
        <f>SUMIFS($C$23:$C$522,$E$23:$E$522,H52,$F$23:$F$522,I52)</f>
        <v/>
      </c>
      <c r="K52" s="11">
        <f>IFERROR(J52/$J$19,0)</f>
        <v/>
      </c>
      <c r="AA52">
        <f>IF(J52&gt;0,I52,"")</f>
        <v/>
      </c>
    </row>
    <row r="53">
      <c r="B53" s="46" t="n"/>
      <c r="C53" s="14" t="n"/>
      <c r="D53" s="13" t="n"/>
      <c r="E53" s="13" t="n"/>
      <c r="F53" s="13" t="n"/>
      <c r="H53" s="83" t="inlineStr">
        <is>
          <t>CASA</t>
        </is>
      </c>
      <c r="I53" s="85" t="inlineStr">
        <is>
          <t>Muebles / decoración</t>
        </is>
      </c>
      <c r="J53" s="12">
        <f>SUMIFS($C$23:$C$522,$E$23:$E$522,H53,$F$23:$F$522,I53)</f>
        <v/>
      </c>
      <c r="K53" s="11">
        <f>IFERROR(J53/$J$19,0)</f>
        <v/>
      </c>
      <c r="AA53">
        <f>IF(J53&gt;0,I53,"")</f>
        <v/>
      </c>
    </row>
    <row r="54">
      <c r="B54" s="46" t="n"/>
      <c r="C54" s="14" t="n"/>
      <c r="D54" s="13" t="n"/>
      <c r="E54" s="13" t="n"/>
      <c r="F54" s="13" t="n"/>
      <c r="H54" s="83" t="inlineStr">
        <is>
          <t>CASA</t>
        </is>
      </c>
      <c r="I54" s="86" t="inlineStr">
        <is>
          <t>Limpieza / hogar</t>
        </is>
      </c>
      <c r="J54" s="12">
        <f>SUMIFS($C$23:$C$522,$E$23:$E$522,H54,$F$23:$F$522,I54)</f>
        <v/>
      </c>
      <c r="K54" s="11">
        <f>IFERROR(J54/$J$19,0)</f>
        <v/>
      </c>
      <c r="AA54">
        <f>IF(J54&gt;0,I54,"")</f>
        <v/>
      </c>
    </row>
    <row r="55">
      <c r="B55" s="46" t="n"/>
      <c r="C55" s="14" t="n"/>
      <c r="D55" s="13" t="n"/>
      <c r="E55" s="13" t="n"/>
      <c r="F55" s="13" t="n"/>
      <c r="H55" s="87" t="inlineStr">
        <is>
          <t>REGALOS</t>
        </is>
      </c>
      <c r="I55" s="88" t="inlineStr">
        <is>
          <t>Cumpleaños</t>
        </is>
      </c>
      <c r="J55" s="12">
        <f>SUMIFS($C$23:$C$522,$E$23:$E$522,H55,$F$23:$F$522,I55)</f>
        <v/>
      </c>
      <c r="K55" s="11">
        <f>IFERROR(J55/$J$19,0)</f>
        <v/>
      </c>
      <c r="AA55">
        <f>IF(J55&gt;0,I55,"")</f>
        <v/>
      </c>
    </row>
    <row r="56">
      <c r="B56" s="46" t="n"/>
      <c r="C56" s="14" t="n"/>
      <c r="D56" s="13" t="n"/>
      <c r="E56" s="13" t="n"/>
      <c r="F56" s="13" t="n"/>
      <c r="H56" s="87" t="inlineStr">
        <is>
          <t>REGALOS</t>
        </is>
      </c>
      <c r="I56" s="89" t="inlineStr">
        <is>
          <t>Navidad</t>
        </is>
      </c>
      <c r="J56" s="12">
        <f>SUMIFS($C$23:$C$522,$E$23:$E$522,H56,$F$23:$F$522,I56)</f>
        <v/>
      </c>
      <c r="K56" s="11">
        <f>IFERROR(J56/$J$19,0)</f>
        <v/>
      </c>
      <c r="AA56">
        <f>IF(J56&gt;0,I56,"")</f>
        <v/>
      </c>
    </row>
    <row r="57">
      <c r="B57" s="46" t="n"/>
      <c r="C57" s="14" t="n"/>
      <c r="D57" s="13" t="n"/>
      <c r="E57" s="13" t="n"/>
      <c r="F57" s="13" t="n"/>
      <c r="H57" s="87" t="inlineStr">
        <is>
          <t>REGALOS</t>
        </is>
      </c>
      <c r="I57" s="90" t="inlineStr">
        <is>
          <t>Otros regalos</t>
        </is>
      </c>
      <c r="J57" s="12">
        <f>SUMIFS($C$23:$C$522,$E$23:$E$522,H57,$F$23:$F$522,I57)</f>
        <v/>
      </c>
      <c r="K57" s="11">
        <f>IFERROR(J57/$J$19,0)</f>
        <v/>
      </c>
      <c r="AA57">
        <f>IF(J57&gt;0,I57,"")</f>
        <v/>
      </c>
    </row>
    <row r="58">
      <c r="B58" s="46" t="n"/>
      <c r="C58" s="14" t="n"/>
      <c r="D58" s="13" t="n"/>
      <c r="E58" s="13" t="n"/>
      <c r="F58" s="13" t="n"/>
      <c r="H58" s="91" t="inlineStr">
        <is>
          <t>ESTUDIO</t>
        </is>
      </c>
      <c r="I58" s="92" t="inlineStr">
        <is>
          <t>Cursos</t>
        </is>
      </c>
      <c r="J58" s="12">
        <f>SUMIFS($C$23:$C$522,$E$23:$E$522,H58,$F$23:$F$522,I58)</f>
        <v/>
      </c>
      <c r="K58" s="11">
        <f>IFERROR(J58/$J$19,0)</f>
        <v/>
      </c>
      <c r="AA58">
        <f>IF(J58&gt;0,I58,"")</f>
        <v/>
      </c>
    </row>
    <row r="59">
      <c r="B59" s="46" t="n"/>
      <c r="C59" s="14" t="n"/>
      <c r="D59" s="13" t="n"/>
      <c r="E59" s="13" t="n"/>
      <c r="F59" s="13" t="n"/>
      <c r="H59" s="91" t="inlineStr">
        <is>
          <t>ESTUDIO</t>
        </is>
      </c>
      <c r="I59" s="93" t="inlineStr">
        <is>
          <t>Libros / material</t>
        </is>
      </c>
      <c r="J59" s="12">
        <f>SUMIFS($C$23:$C$522,$E$23:$E$522,H59,$F$23:$F$522,I59)</f>
        <v/>
      </c>
      <c r="K59" s="11">
        <f>IFERROR(J59/$J$19,0)</f>
        <v/>
      </c>
      <c r="AA59">
        <f>IF(J59&gt;0,I59,"")</f>
        <v/>
      </c>
    </row>
    <row r="60">
      <c r="B60" s="46" t="n"/>
      <c r="C60" s="14" t="n"/>
      <c r="D60" s="13" t="n"/>
      <c r="E60" s="13" t="n"/>
      <c r="F60" s="13" t="n"/>
      <c r="H60" s="91" t="inlineStr">
        <is>
          <t>ESTUDIO</t>
        </is>
      </c>
      <c r="I60" s="94" t="inlineStr">
        <is>
          <t>Herramientas IA / software</t>
        </is>
      </c>
      <c r="J60" s="12">
        <f>SUMIFS($C$23:$C$522,$E$23:$E$522,H60,$F$23:$F$522,I60)</f>
        <v/>
      </c>
      <c r="K60" s="11">
        <f>IFERROR(J60/$J$19,0)</f>
        <v/>
      </c>
      <c r="AA60">
        <f>IF(J60&gt;0,I60,"")</f>
        <v/>
      </c>
    </row>
    <row r="61">
      <c r="B61" s="46" t="n"/>
      <c r="C61" s="14" t="n"/>
      <c r="D61" s="13" t="n"/>
      <c r="E61" s="13" t="n"/>
      <c r="F61" s="13" t="n"/>
      <c r="H61" s="95" t="inlineStr">
        <is>
          <t>VARIOS</t>
        </is>
      </c>
      <c r="I61" s="96" t="inlineStr">
        <is>
          <t>Viajes</t>
        </is>
      </c>
      <c r="J61" s="12">
        <f>SUMIFS($C$23:$C$522,$E$23:$E$522,H61,$F$23:$F$522,I61)</f>
        <v/>
      </c>
      <c r="K61" s="11">
        <f>IFERROR(J61/$J$19,0)</f>
        <v/>
      </c>
      <c r="AA61">
        <f>IF(J61&gt;0,I61,"")</f>
        <v/>
      </c>
    </row>
    <row r="62">
      <c r="B62" s="46" t="n"/>
      <c r="C62" s="14" t="n"/>
      <c r="D62" s="13" t="n"/>
      <c r="E62" s="13" t="n"/>
      <c r="F62" s="13" t="n"/>
      <c r="H62" s="95" t="inlineStr">
        <is>
          <t>VARIOS</t>
        </is>
      </c>
      <c r="I62" s="97" t="inlineStr">
        <is>
          <t>Otros</t>
        </is>
      </c>
      <c r="J62" s="12">
        <f>SUMIFS($C$23:$C$522,$E$23:$E$522,H62,$F$23:$F$522,I62)</f>
        <v/>
      </c>
      <c r="K62" s="11">
        <f>IFERROR(J62/$J$19,0)</f>
        <v/>
      </c>
      <c r="AA62">
        <f>IF(J62&gt;0,I62,"")</f>
        <v/>
      </c>
    </row>
    <row r="63">
      <c r="B63" s="46" t="n"/>
      <c r="C63" s="14" t="n"/>
      <c r="D63" s="13" t="n"/>
      <c r="E63" s="13" t="n"/>
      <c r="F63" s="13" t="n"/>
      <c r="H63" s="98" t="inlineStr">
        <is>
          <t>Total desglosado</t>
        </is>
      </c>
      <c r="J63" s="99">
        <f>SUM(J25:J62)</f>
        <v/>
      </c>
    </row>
    <row r="64">
      <c r="B64" s="46" t="n"/>
      <c r="C64" s="14" t="n"/>
      <c r="D64" s="13" t="n"/>
      <c r="E64" s="13" t="n"/>
      <c r="F64" s="13" t="n"/>
      <c r="H64" s="2" t="inlineStr">
        <is>
          <t>Control: gastos sin subcategoría</t>
        </is>
      </c>
      <c r="J64" s="100">
        <f>J19-J63</f>
        <v/>
      </c>
    </row>
    <row r="65">
      <c r="B65" s="46" t="n"/>
      <c r="C65" s="14" t="n"/>
      <c r="D65" s="13" t="n"/>
      <c r="E65" s="13" t="n"/>
      <c r="F65" s="13" t="n"/>
    </row>
    <row r="66">
      <c r="B66" s="46" t="n"/>
      <c r="C66" s="14" t="n"/>
      <c r="D66" s="13" t="n"/>
      <c r="E66" s="13" t="n"/>
      <c r="F66" s="13" t="n"/>
    </row>
    <row r="67">
      <c r="B67" s="46" t="n"/>
      <c r="C67" s="14" t="n"/>
      <c r="D67" s="13" t="n"/>
      <c r="E67" s="13" t="n"/>
      <c r="F67" s="13" t="n"/>
    </row>
    <row r="68">
      <c r="B68" s="46" t="n"/>
      <c r="C68" s="14" t="n"/>
      <c r="D68" s="13" t="n"/>
      <c r="E68" s="13" t="n"/>
      <c r="F68" s="13" t="n"/>
    </row>
    <row r="69">
      <c r="B69" s="46" t="n"/>
      <c r="C69" s="14" t="n"/>
      <c r="D69" s="13" t="n"/>
      <c r="E69" s="13" t="n"/>
      <c r="F69" s="13" t="n"/>
    </row>
    <row r="70">
      <c r="B70" s="46" t="n"/>
      <c r="C70" s="14" t="n"/>
      <c r="D70" s="13" t="n"/>
      <c r="E70" s="13" t="n"/>
      <c r="F70" s="13" t="n"/>
    </row>
    <row r="71">
      <c r="B71" s="46" t="n"/>
      <c r="C71" s="14" t="n"/>
      <c r="D71" s="13" t="n"/>
      <c r="E71" s="13" t="n"/>
      <c r="F71" s="13" t="n"/>
    </row>
    <row r="72">
      <c r="B72" s="46" t="n"/>
      <c r="C72" s="14" t="n"/>
      <c r="D72" s="13" t="n"/>
      <c r="E72" s="13" t="n"/>
      <c r="F72" s="13" t="n"/>
    </row>
    <row r="73">
      <c r="B73" s="46" t="n"/>
      <c r="C73" s="14" t="n"/>
      <c r="D73" s="13" t="n"/>
      <c r="E73" s="13" t="n"/>
      <c r="F73" s="13" t="n"/>
    </row>
    <row r="74">
      <c r="B74" s="46" t="n"/>
      <c r="C74" s="14" t="n"/>
      <c r="D74" s="13" t="n"/>
      <c r="E74" s="13" t="n"/>
      <c r="F74" s="13" t="n"/>
    </row>
    <row r="75">
      <c r="B75" s="46" t="n"/>
      <c r="C75" s="14" t="n"/>
      <c r="D75" s="13" t="n"/>
      <c r="E75" s="13" t="n"/>
      <c r="F75" s="13" t="n"/>
    </row>
    <row r="76">
      <c r="B76" s="46" t="n"/>
      <c r="C76" s="14" t="n"/>
      <c r="D76" s="13" t="n"/>
      <c r="E76" s="13" t="n"/>
      <c r="F76" s="13" t="n"/>
    </row>
    <row r="77">
      <c r="B77" s="46" t="n"/>
      <c r="C77" s="14" t="n"/>
      <c r="D77" s="13" t="n"/>
      <c r="E77" s="13" t="n"/>
      <c r="F77" s="13" t="n"/>
    </row>
    <row r="78">
      <c r="B78" s="46" t="n"/>
      <c r="C78" s="14" t="n"/>
      <c r="D78" s="13" t="n"/>
      <c r="E78" s="13" t="n"/>
      <c r="F78" s="13" t="n"/>
    </row>
    <row r="79">
      <c r="B79" s="46" t="n"/>
      <c r="C79" s="14" t="n"/>
      <c r="D79" s="13" t="n"/>
      <c r="E79" s="13" t="n"/>
      <c r="F79" s="13" t="n"/>
    </row>
    <row r="80">
      <c r="B80" s="46" t="n"/>
      <c r="C80" s="14" t="n"/>
      <c r="D80" s="13" t="n"/>
      <c r="E80" s="13" t="n"/>
      <c r="F80" s="13" t="n"/>
    </row>
    <row r="81">
      <c r="B81" s="46" t="n"/>
      <c r="C81" s="14" t="n"/>
      <c r="D81" s="13" t="n"/>
      <c r="E81" s="13" t="n"/>
      <c r="F81" s="13" t="n"/>
    </row>
    <row r="82">
      <c r="B82" s="46" t="n"/>
      <c r="C82" s="14" t="n"/>
      <c r="D82" s="13" t="n"/>
      <c r="E82" s="13" t="n"/>
      <c r="F82" s="13" t="n"/>
    </row>
    <row r="83">
      <c r="B83" s="46" t="n"/>
      <c r="C83" s="14" t="n"/>
      <c r="D83" s="13" t="n"/>
      <c r="E83" s="13" t="n"/>
      <c r="F83" s="13" t="n"/>
    </row>
    <row r="84">
      <c r="B84" s="46" t="n"/>
      <c r="C84" s="14" t="n"/>
      <c r="D84" s="13" t="n"/>
      <c r="E84" s="13" t="n"/>
      <c r="F84" s="13" t="n"/>
    </row>
    <row r="85">
      <c r="B85" s="46" t="n"/>
      <c r="C85" s="14" t="n"/>
      <c r="D85" s="13" t="n"/>
      <c r="E85" s="13" t="n"/>
      <c r="F85" s="13" t="n"/>
    </row>
    <row r="86">
      <c r="B86" s="46" t="n"/>
      <c r="C86" s="14" t="n"/>
      <c r="D86" s="13" t="n"/>
      <c r="E86" s="13" t="n"/>
      <c r="F86" s="13" t="n"/>
    </row>
    <row r="87">
      <c r="B87" s="46" t="n"/>
      <c r="C87" s="14" t="n"/>
      <c r="D87" s="13" t="n"/>
      <c r="E87" s="13" t="n"/>
      <c r="F87" s="13" t="n"/>
    </row>
    <row r="88">
      <c r="B88" s="46" t="n"/>
      <c r="C88" s="14" t="n"/>
      <c r="D88" s="13" t="n"/>
      <c r="E88" s="13" t="n"/>
      <c r="F88" s="13" t="n"/>
    </row>
    <row r="89">
      <c r="B89" s="46" t="n"/>
      <c r="C89" s="14" t="n"/>
      <c r="D89" s="13" t="n"/>
      <c r="E89" s="13" t="n"/>
      <c r="F89" s="13" t="n"/>
    </row>
    <row r="90">
      <c r="B90" s="46" t="n"/>
      <c r="C90" s="14" t="n"/>
      <c r="D90" s="13" t="n"/>
      <c r="E90" s="13" t="n"/>
      <c r="F90" s="13" t="n"/>
    </row>
    <row r="91">
      <c r="B91" s="46" t="n"/>
      <c r="C91" s="14" t="n"/>
      <c r="D91" s="13" t="n"/>
      <c r="E91" s="13" t="n"/>
      <c r="F91" s="13" t="n"/>
    </row>
    <row r="92">
      <c r="B92" s="46" t="n"/>
      <c r="C92" s="14" t="n"/>
      <c r="D92" s="13" t="n"/>
      <c r="E92" s="13" t="n"/>
      <c r="F92" s="13" t="n"/>
    </row>
    <row r="93">
      <c r="B93" s="46" t="n"/>
      <c r="C93" s="14" t="n"/>
      <c r="D93" s="13" t="n"/>
      <c r="E93" s="13" t="n"/>
      <c r="F93" s="13" t="n"/>
    </row>
    <row r="94">
      <c r="B94" s="46" t="n"/>
      <c r="C94" s="14" t="n"/>
      <c r="D94" s="13" t="n"/>
      <c r="E94" s="13" t="n"/>
      <c r="F94" s="13" t="n"/>
    </row>
    <row r="95">
      <c r="B95" s="46" t="n"/>
      <c r="C95" s="14" t="n"/>
      <c r="D95" s="13" t="n"/>
      <c r="E95" s="13" t="n"/>
      <c r="F95" s="13" t="n"/>
    </row>
    <row r="96">
      <c r="B96" s="46" t="n"/>
      <c r="C96" s="14" t="n"/>
      <c r="D96" s="13" t="n"/>
      <c r="E96" s="13" t="n"/>
      <c r="F96" s="13" t="n"/>
    </row>
    <row r="97">
      <c r="B97" s="46" t="n"/>
      <c r="C97" s="14" t="n"/>
      <c r="D97" s="13" t="n"/>
      <c r="E97" s="13" t="n"/>
      <c r="F97" s="13" t="n"/>
    </row>
    <row r="98">
      <c r="B98" s="46" t="n"/>
      <c r="C98" s="14" t="n"/>
      <c r="D98" s="13" t="n"/>
      <c r="E98" s="13" t="n"/>
      <c r="F98" s="13" t="n"/>
    </row>
    <row r="99">
      <c r="B99" s="46" t="n"/>
      <c r="C99" s="14" t="n"/>
      <c r="D99" s="13" t="n"/>
      <c r="E99" s="13" t="n"/>
      <c r="F99" s="13" t="n"/>
    </row>
    <row r="100">
      <c r="B100" s="46" t="n"/>
      <c r="C100" s="14" t="n"/>
      <c r="D100" s="13" t="n"/>
      <c r="E100" s="13" t="n"/>
      <c r="F100" s="13" t="n"/>
    </row>
    <row r="101">
      <c r="B101" s="46" t="n"/>
      <c r="C101" s="14" t="n"/>
      <c r="D101" s="13" t="n"/>
      <c r="E101" s="13" t="n"/>
      <c r="F101" s="13" t="n"/>
    </row>
    <row r="102">
      <c r="B102" s="46" t="n"/>
      <c r="C102" s="14" t="n"/>
      <c r="D102" s="13" t="n"/>
      <c r="E102" s="13" t="n"/>
      <c r="F102" s="13" t="n"/>
    </row>
    <row r="103">
      <c r="B103" s="46" t="n"/>
      <c r="C103" s="14" t="n"/>
      <c r="D103" s="13" t="n"/>
      <c r="E103" s="13" t="n"/>
      <c r="F103" s="13" t="n"/>
    </row>
    <row r="104">
      <c r="B104" s="46" t="n"/>
      <c r="C104" s="14" t="n"/>
      <c r="D104" s="13" t="n"/>
      <c r="E104" s="13" t="n"/>
      <c r="F104" s="13" t="n"/>
    </row>
    <row r="105">
      <c r="B105" s="46" t="n"/>
      <c r="C105" s="14" t="n"/>
      <c r="D105" s="13" t="n"/>
      <c r="E105" s="13" t="n"/>
      <c r="F105" s="13" t="n"/>
    </row>
    <row r="106">
      <c r="B106" s="46" t="n"/>
      <c r="C106" s="14" t="n"/>
      <c r="D106" s="13" t="n"/>
      <c r="E106" s="13" t="n"/>
      <c r="F106" s="13" t="n"/>
    </row>
    <row r="107">
      <c r="B107" s="46" t="n"/>
      <c r="C107" s="14" t="n"/>
      <c r="D107" s="13" t="n"/>
      <c r="E107" s="13" t="n"/>
      <c r="F107" s="13" t="n"/>
    </row>
    <row r="108">
      <c r="B108" s="46" t="n"/>
      <c r="C108" s="14" t="n"/>
      <c r="D108" s="13" t="n"/>
      <c r="E108" s="13" t="n"/>
      <c r="F108" s="13" t="n"/>
    </row>
    <row r="109">
      <c r="B109" s="46" t="n"/>
      <c r="C109" s="14" t="n"/>
      <c r="D109" s="13" t="n"/>
      <c r="E109" s="13" t="n"/>
      <c r="F109" s="13" t="n"/>
    </row>
    <row r="110">
      <c r="B110" s="46" t="n"/>
      <c r="C110" s="14" t="n"/>
      <c r="D110" s="13" t="n"/>
      <c r="E110" s="13" t="n"/>
      <c r="F110" s="13" t="n"/>
    </row>
    <row r="111">
      <c r="B111" s="46" t="n"/>
      <c r="C111" s="14" t="n"/>
      <c r="D111" s="13" t="n"/>
      <c r="E111" s="13" t="n"/>
      <c r="F111" s="13" t="n"/>
    </row>
    <row r="112">
      <c r="B112" s="46" t="n"/>
      <c r="C112" s="14" t="n"/>
      <c r="D112" s="13" t="n"/>
      <c r="E112" s="13" t="n"/>
      <c r="F112" s="13" t="n"/>
    </row>
    <row r="113">
      <c r="B113" s="46" t="n"/>
      <c r="C113" s="14" t="n"/>
      <c r="D113" s="13" t="n"/>
      <c r="E113" s="13" t="n"/>
      <c r="F113" s="13" t="n"/>
    </row>
    <row r="114">
      <c r="B114" s="46" t="n"/>
      <c r="C114" s="14" t="n"/>
      <c r="D114" s="13" t="n"/>
      <c r="E114" s="13" t="n"/>
      <c r="F114" s="13" t="n"/>
    </row>
    <row r="115">
      <c r="B115" s="46" t="n"/>
      <c r="C115" s="14" t="n"/>
      <c r="D115" s="13" t="n"/>
      <c r="E115" s="13" t="n"/>
      <c r="F115" s="13" t="n"/>
    </row>
    <row r="116">
      <c r="B116" s="46" t="n"/>
      <c r="C116" s="14" t="n"/>
      <c r="D116" s="13" t="n"/>
      <c r="E116" s="13" t="n"/>
      <c r="F116" s="13" t="n"/>
    </row>
    <row r="117">
      <c r="B117" s="46" t="n"/>
      <c r="C117" s="14" t="n"/>
      <c r="D117" s="13" t="n"/>
      <c r="E117" s="13" t="n"/>
      <c r="F117" s="13" t="n"/>
    </row>
    <row r="118">
      <c r="B118" s="46" t="n"/>
      <c r="C118" s="14" t="n"/>
      <c r="D118" s="13" t="n"/>
      <c r="E118" s="13" t="n"/>
      <c r="F118" s="13" t="n"/>
    </row>
    <row r="119">
      <c r="B119" s="46" t="n"/>
      <c r="C119" s="14" t="n"/>
      <c r="D119" s="13" t="n"/>
      <c r="E119" s="13" t="n"/>
      <c r="F119" s="13" t="n"/>
    </row>
    <row r="120">
      <c r="B120" s="46" t="n"/>
      <c r="C120" s="14" t="n"/>
      <c r="D120" s="13" t="n"/>
      <c r="E120" s="13" t="n"/>
      <c r="F120" s="13" t="n"/>
    </row>
    <row r="121">
      <c r="B121" s="46" t="n"/>
      <c r="C121" s="14" t="n"/>
      <c r="D121" s="13" t="n"/>
      <c r="E121" s="13" t="n"/>
      <c r="F121" s="13" t="n"/>
    </row>
    <row r="122">
      <c r="B122" s="46" t="n"/>
      <c r="C122" s="14" t="n"/>
      <c r="D122" s="13" t="n"/>
      <c r="E122" s="13" t="n"/>
      <c r="F122" s="13" t="n"/>
    </row>
    <row r="123">
      <c r="B123" s="46" t="n"/>
      <c r="C123" s="14" t="n"/>
      <c r="D123" s="13" t="n"/>
      <c r="E123" s="13" t="n"/>
      <c r="F123" s="13" t="n"/>
    </row>
    <row r="124">
      <c r="B124" s="46" t="n"/>
      <c r="C124" s="14" t="n"/>
      <c r="D124" s="13" t="n"/>
      <c r="E124" s="13" t="n"/>
      <c r="F124" s="13" t="n"/>
    </row>
    <row r="125">
      <c r="B125" s="46" t="n"/>
      <c r="C125" s="14" t="n"/>
      <c r="D125" s="13" t="n"/>
      <c r="E125" s="13" t="n"/>
      <c r="F125" s="13" t="n"/>
    </row>
    <row r="126">
      <c r="B126" s="46" t="n"/>
      <c r="C126" s="14" t="n"/>
      <c r="D126" s="13" t="n"/>
      <c r="E126" s="13" t="n"/>
      <c r="F126" s="13" t="n"/>
    </row>
    <row r="127">
      <c r="B127" s="46" t="n"/>
      <c r="C127" s="14" t="n"/>
      <c r="D127" s="13" t="n"/>
      <c r="E127" s="13" t="n"/>
      <c r="F127" s="13" t="n"/>
    </row>
    <row r="128">
      <c r="B128" s="46" t="n"/>
      <c r="C128" s="14" t="n"/>
      <c r="D128" s="13" t="n"/>
      <c r="E128" s="13" t="n"/>
      <c r="F128" s="13" t="n"/>
    </row>
    <row r="129">
      <c r="B129" s="46" t="n"/>
      <c r="C129" s="14" t="n"/>
      <c r="D129" s="13" t="n"/>
      <c r="E129" s="13" t="n"/>
      <c r="F129" s="13" t="n"/>
    </row>
    <row r="130">
      <c r="B130" s="46" t="n"/>
      <c r="C130" s="14" t="n"/>
      <c r="D130" s="13" t="n"/>
      <c r="E130" s="13" t="n"/>
      <c r="F130" s="13" t="n"/>
    </row>
    <row r="131">
      <c r="B131" s="46" t="n"/>
      <c r="C131" s="14" t="n"/>
      <c r="D131" s="13" t="n"/>
      <c r="E131" s="13" t="n"/>
      <c r="F131" s="13" t="n"/>
    </row>
    <row r="132">
      <c r="B132" s="46" t="n"/>
      <c r="C132" s="14" t="n"/>
      <c r="D132" s="13" t="n"/>
      <c r="E132" s="13" t="n"/>
      <c r="F132" s="13" t="n"/>
    </row>
    <row r="133">
      <c r="B133" s="46" t="n"/>
      <c r="C133" s="14" t="n"/>
      <c r="D133" s="13" t="n"/>
      <c r="E133" s="13" t="n"/>
      <c r="F133" s="13" t="n"/>
    </row>
    <row r="134">
      <c r="B134" s="46" t="n"/>
      <c r="C134" s="14" t="n"/>
      <c r="D134" s="13" t="n"/>
      <c r="E134" s="13" t="n"/>
      <c r="F134" s="13" t="n"/>
    </row>
    <row r="135">
      <c r="B135" s="46" t="n"/>
      <c r="C135" s="14" t="n"/>
      <c r="D135" s="13" t="n"/>
      <c r="E135" s="13" t="n"/>
      <c r="F135" s="13" t="n"/>
    </row>
    <row r="136">
      <c r="B136" s="46" t="n"/>
      <c r="C136" s="14" t="n"/>
      <c r="D136" s="13" t="n"/>
      <c r="E136" s="13" t="n"/>
      <c r="F136" s="13" t="n"/>
    </row>
    <row r="137">
      <c r="B137" s="46" t="n"/>
      <c r="C137" s="14" t="n"/>
      <c r="D137" s="13" t="n"/>
      <c r="E137" s="13" t="n"/>
      <c r="F137" s="13" t="n"/>
    </row>
    <row r="138">
      <c r="B138" s="46" t="n"/>
      <c r="C138" s="14" t="n"/>
      <c r="D138" s="13" t="n"/>
      <c r="E138" s="13" t="n"/>
      <c r="F138" s="13" t="n"/>
    </row>
    <row r="139">
      <c r="B139" s="46" t="n"/>
      <c r="C139" s="14" t="n"/>
      <c r="D139" s="13" t="n"/>
      <c r="E139" s="13" t="n"/>
      <c r="F139" s="13" t="n"/>
    </row>
    <row r="140">
      <c r="B140" s="46" t="n"/>
      <c r="C140" s="14" t="n"/>
      <c r="D140" s="13" t="n"/>
      <c r="E140" s="13" t="n"/>
      <c r="F140" s="13" t="n"/>
    </row>
    <row r="141">
      <c r="B141" s="46" t="n"/>
      <c r="C141" s="14" t="n"/>
      <c r="D141" s="13" t="n"/>
      <c r="E141" s="13" t="n"/>
      <c r="F141" s="13" t="n"/>
    </row>
    <row r="142">
      <c r="B142" s="46" t="n"/>
      <c r="C142" s="14" t="n"/>
      <c r="D142" s="13" t="n"/>
      <c r="E142" s="13" t="n"/>
      <c r="F142" s="13" t="n"/>
    </row>
    <row r="143">
      <c r="B143" s="46" t="n"/>
      <c r="C143" s="14" t="n"/>
      <c r="D143" s="13" t="n"/>
      <c r="E143" s="13" t="n"/>
      <c r="F143" s="13" t="n"/>
    </row>
    <row r="144">
      <c r="B144" s="46" t="n"/>
      <c r="C144" s="14" t="n"/>
      <c r="D144" s="13" t="n"/>
      <c r="E144" s="13" t="n"/>
      <c r="F144" s="13" t="n"/>
    </row>
    <row r="145">
      <c r="B145" s="46" t="n"/>
      <c r="C145" s="14" t="n"/>
      <c r="D145" s="13" t="n"/>
      <c r="E145" s="13" t="n"/>
      <c r="F145" s="13" t="n"/>
    </row>
    <row r="146">
      <c r="B146" s="46" t="n"/>
      <c r="C146" s="14" t="n"/>
      <c r="D146" s="13" t="n"/>
      <c r="E146" s="13" t="n"/>
      <c r="F146" s="13" t="n"/>
    </row>
    <row r="147">
      <c r="B147" s="46" t="n"/>
      <c r="C147" s="14" t="n"/>
      <c r="D147" s="13" t="n"/>
      <c r="E147" s="13" t="n"/>
      <c r="F147" s="13" t="n"/>
    </row>
    <row r="148">
      <c r="B148" s="46" t="n"/>
      <c r="C148" s="14" t="n"/>
      <c r="D148" s="13" t="n"/>
      <c r="E148" s="13" t="n"/>
      <c r="F148" s="13" t="n"/>
    </row>
    <row r="149">
      <c r="B149" s="46" t="n"/>
      <c r="C149" s="14" t="n"/>
      <c r="D149" s="13" t="n"/>
      <c r="E149" s="13" t="n"/>
      <c r="F149" s="13" t="n"/>
    </row>
    <row r="150">
      <c r="B150" s="46" t="n"/>
      <c r="C150" s="14" t="n"/>
      <c r="D150" s="13" t="n"/>
      <c r="E150" s="13" t="n"/>
      <c r="F150" s="13" t="n"/>
    </row>
    <row r="151">
      <c r="B151" s="46" t="n"/>
      <c r="C151" s="14" t="n"/>
      <c r="D151" s="13" t="n"/>
      <c r="E151" s="13" t="n"/>
      <c r="F151" s="13" t="n"/>
    </row>
    <row r="152">
      <c r="B152" s="46" t="n"/>
      <c r="C152" s="14" t="n"/>
      <c r="D152" s="13" t="n"/>
      <c r="E152" s="13" t="n"/>
      <c r="F152" s="13" t="n"/>
    </row>
    <row r="153">
      <c r="B153" s="46" t="n"/>
      <c r="C153" s="14" t="n"/>
      <c r="D153" s="13" t="n"/>
      <c r="E153" s="13" t="n"/>
      <c r="F153" s="13" t="n"/>
    </row>
    <row r="154">
      <c r="B154" s="46" t="n"/>
      <c r="C154" s="14" t="n"/>
      <c r="D154" s="13" t="n"/>
      <c r="E154" s="13" t="n"/>
      <c r="F154" s="13" t="n"/>
    </row>
    <row r="155">
      <c r="B155" s="46" t="n"/>
      <c r="C155" s="14" t="n"/>
      <c r="D155" s="13" t="n"/>
      <c r="E155" s="13" t="n"/>
      <c r="F155" s="13" t="n"/>
    </row>
    <row r="156">
      <c r="B156" s="46" t="n"/>
      <c r="C156" s="14" t="n"/>
      <c r="D156" s="13" t="n"/>
      <c r="E156" s="13" t="n"/>
      <c r="F156" s="13" t="n"/>
    </row>
    <row r="157">
      <c r="B157" s="46" t="n"/>
      <c r="C157" s="14" t="n"/>
      <c r="D157" s="13" t="n"/>
      <c r="E157" s="13" t="n"/>
      <c r="F157" s="13" t="n"/>
    </row>
    <row r="158">
      <c r="B158" s="46" t="n"/>
      <c r="C158" s="14" t="n"/>
      <c r="D158" s="13" t="n"/>
      <c r="E158" s="13" t="n"/>
      <c r="F158" s="13" t="n"/>
    </row>
    <row r="159">
      <c r="B159" s="46" t="n"/>
      <c r="C159" s="14" t="n"/>
      <c r="D159" s="13" t="n"/>
      <c r="E159" s="13" t="n"/>
      <c r="F159" s="13" t="n"/>
    </row>
    <row r="160">
      <c r="B160" s="46" t="n"/>
      <c r="C160" s="14" t="n"/>
      <c r="D160" s="13" t="n"/>
      <c r="E160" s="13" t="n"/>
      <c r="F160" s="13" t="n"/>
    </row>
    <row r="161">
      <c r="B161" s="46" t="n"/>
      <c r="C161" s="14" t="n"/>
      <c r="D161" s="13" t="n"/>
      <c r="E161" s="13" t="n"/>
      <c r="F161" s="13" t="n"/>
    </row>
    <row r="162">
      <c r="B162" s="46" t="n"/>
      <c r="C162" s="14" t="n"/>
      <c r="D162" s="13" t="n"/>
      <c r="E162" s="13" t="n"/>
      <c r="F162" s="13" t="n"/>
    </row>
    <row r="163">
      <c r="B163" s="46" t="n"/>
      <c r="C163" s="14" t="n"/>
      <c r="D163" s="13" t="n"/>
      <c r="E163" s="13" t="n"/>
      <c r="F163" s="13" t="n"/>
    </row>
    <row r="164">
      <c r="B164" s="46" t="n"/>
      <c r="C164" s="14" t="n"/>
      <c r="D164" s="13" t="n"/>
      <c r="E164" s="13" t="n"/>
      <c r="F164" s="13" t="n"/>
    </row>
    <row r="165">
      <c r="B165" s="46" t="n"/>
      <c r="C165" s="14" t="n"/>
      <c r="D165" s="13" t="n"/>
      <c r="E165" s="13" t="n"/>
      <c r="F165" s="13" t="n"/>
    </row>
    <row r="166">
      <c r="B166" s="46" t="n"/>
      <c r="C166" s="14" t="n"/>
      <c r="D166" s="13" t="n"/>
      <c r="E166" s="13" t="n"/>
      <c r="F166" s="13" t="n"/>
    </row>
    <row r="167">
      <c r="B167" s="46" t="n"/>
      <c r="C167" s="14" t="n"/>
      <c r="D167" s="13" t="n"/>
      <c r="E167" s="13" t="n"/>
      <c r="F167" s="13" t="n"/>
    </row>
    <row r="168">
      <c r="B168" s="46" t="n"/>
      <c r="C168" s="14" t="n"/>
      <c r="D168" s="13" t="n"/>
      <c r="E168" s="13" t="n"/>
      <c r="F168" s="13" t="n"/>
    </row>
    <row r="169">
      <c r="B169" s="46" t="n"/>
      <c r="C169" s="14" t="n"/>
      <c r="D169" s="13" t="n"/>
      <c r="E169" s="13" t="n"/>
      <c r="F169" s="13" t="n"/>
    </row>
    <row r="170">
      <c r="B170" s="46" t="n"/>
      <c r="C170" s="14" t="n"/>
      <c r="D170" s="13" t="n"/>
      <c r="E170" s="13" t="n"/>
      <c r="F170" s="13" t="n"/>
    </row>
    <row r="171">
      <c r="B171" s="46" t="n"/>
      <c r="C171" s="14" t="n"/>
      <c r="D171" s="13" t="n"/>
      <c r="E171" s="13" t="n"/>
      <c r="F171" s="13" t="n"/>
    </row>
    <row r="172">
      <c r="B172" s="46" t="n"/>
      <c r="C172" s="14" t="n"/>
      <c r="D172" s="13" t="n"/>
      <c r="E172" s="13" t="n"/>
      <c r="F172" s="13" t="n"/>
    </row>
    <row r="173">
      <c r="B173" s="46" t="n"/>
      <c r="C173" s="14" t="n"/>
      <c r="D173" s="13" t="n"/>
      <c r="E173" s="13" t="n"/>
      <c r="F173" s="13" t="n"/>
    </row>
    <row r="174">
      <c r="B174" s="46" t="n"/>
      <c r="C174" s="14" t="n"/>
      <c r="D174" s="13" t="n"/>
      <c r="E174" s="13" t="n"/>
      <c r="F174" s="13" t="n"/>
    </row>
    <row r="175">
      <c r="B175" s="46" t="n"/>
      <c r="C175" s="14" t="n"/>
      <c r="D175" s="13" t="n"/>
      <c r="E175" s="13" t="n"/>
      <c r="F175" s="13" t="n"/>
    </row>
    <row r="176">
      <c r="B176" s="46" t="n"/>
      <c r="C176" s="14" t="n"/>
      <c r="D176" s="13" t="n"/>
      <c r="E176" s="13" t="n"/>
      <c r="F176" s="13" t="n"/>
    </row>
    <row r="177">
      <c r="B177" s="46" t="n"/>
      <c r="C177" s="14" t="n"/>
      <c r="D177" s="13" t="n"/>
      <c r="E177" s="13" t="n"/>
      <c r="F177" s="13" t="n"/>
    </row>
    <row r="178">
      <c r="B178" s="46" t="n"/>
      <c r="C178" s="14" t="n"/>
      <c r="D178" s="13" t="n"/>
      <c r="E178" s="13" t="n"/>
      <c r="F178" s="13" t="n"/>
    </row>
    <row r="179">
      <c r="B179" s="46" t="n"/>
      <c r="C179" s="14" t="n"/>
      <c r="D179" s="13" t="n"/>
      <c r="E179" s="13" t="n"/>
      <c r="F179" s="13" t="n"/>
    </row>
    <row r="180">
      <c r="B180" s="46" t="n"/>
      <c r="C180" s="14" t="n"/>
      <c r="D180" s="13" t="n"/>
      <c r="E180" s="13" t="n"/>
      <c r="F180" s="13" t="n"/>
    </row>
    <row r="181">
      <c r="B181" s="46" t="n"/>
      <c r="C181" s="14" t="n"/>
      <c r="D181" s="13" t="n"/>
      <c r="E181" s="13" t="n"/>
      <c r="F181" s="13" t="n"/>
    </row>
    <row r="182">
      <c r="B182" s="46" t="n"/>
      <c r="C182" s="14" t="n"/>
      <c r="D182" s="13" t="n"/>
      <c r="E182" s="13" t="n"/>
      <c r="F182" s="13" t="n"/>
    </row>
    <row r="183">
      <c r="B183" s="46" t="n"/>
      <c r="C183" s="14" t="n"/>
      <c r="D183" s="13" t="n"/>
      <c r="E183" s="13" t="n"/>
      <c r="F183" s="13" t="n"/>
    </row>
    <row r="184">
      <c r="B184" s="46" t="n"/>
      <c r="C184" s="14" t="n"/>
      <c r="D184" s="13" t="n"/>
      <c r="E184" s="13" t="n"/>
      <c r="F184" s="13" t="n"/>
    </row>
    <row r="185">
      <c r="B185" s="46" t="n"/>
      <c r="C185" s="14" t="n"/>
      <c r="D185" s="13" t="n"/>
      <c r="E185" s="13" t="n"/>
      <c r="F185" s="13" t="n"/>
    </row>
    <row r="186">
      <c r="B186" s="46" t="n"/>
      <c r="C186" s="14" t="n"/>
      <c r="D186" s="13" t="n"/>
      <c r="E186" s="13" t="n"/>
      <c r="F186" s="13" t="n"/>
    </row>
    <row r="187">
      <c r="B187" s="46" t="n"/>
      <c r="C187" s="14" t="n"/>
      <c r="D187" s="13" t="n"/>
      <c r="E187" s="13" t="n"/>
      <c r="F187" s="13" t="n"/>
    </row>
    <row r="188">
      <c r="B188" s="46" t="n"/>
      <c r="C188" s="14" t="n"/>
      <c r="D188" s="13" t="n"/>
      <c r="E188" s="13" t="n"/>
      <c r="F188" s="13" t="n"/>
    </row>
    <row r="189">
      <c r="B189" s="46" t="n"/>
      <c r="C189" s="14" t="n"/>
      <c r="D189" s="13" t="n"/>
      <c r="E189" s="13" t="n"/>
      <c r="F189" s="13" t="n"/>
    </row>
    <row r="190">
      <c r="B190" s="46" t="n"/>
      <c r="C190" s="14" t="n"/>
      <c r="D190" s="13" t="n"/>
      <c r="E190" s="13" t="n"/>
      <c r="F190" s="13" t="n"/>
    </row>
    <row r="191">
      <c r="B191" s="46" t="n"/>
      <c r="C191" s="14" t="n"/>
      <c r="D191" s="13" t="n"/>
      <c r="E191" s="13" t="n"/>
      <c r="F191" s="13" t="n"/>
    </row>
    <row r="192">
      <c r="B192" s="46" t="n"/>
      <c r="C192" s="14" t="n"/>
      <c r="D192" s="13" t="n"/>
      <c r="E192" s="13" t="n"/>
      <c r="F192" s="13" t="n"/>
    </row>
    <row r="193">
      <c r="B193" s="46" t="n"/>
      <c r="C193" s="14" t="n"/>
      <c r="D193" s="13" t="n"/>
      <c r="E193" s="13" t="n"/>
      <c r="F193" s="13" t="n"/>
    </row>
    <row r="194">
      <c r="B194" s="46" t="n"/>
      <c r="C194" s="14" t="n"/>
      <c r="D194" s="13" t="n"/>
      <c r="E194" s="13" t="n"/>
      <c r="F194" s="13" t="n"/>
    </row>
    <row r="195">
      <c r="B195" s="46" t="n"/>
      <c r="C195" s="14" t="n"/>
      <c r="D195" s="13" t="n"/>
      <c r="E195" s="13" t="n"/>
      <c r="F195" s="13" t="n"/>
    </row>
    <row r="196">
      <c r="B196" s="46" t="n"/>
      <c r="C196" s="14" t="n"/>
      <c r="D196" s="13" t="n"/>
      <c r="E196" s="13" t="n"/>
      <c r="F196" s="13" t="n"/>
    </row>
    <row r="197">
      <c r="B197" s="46" t="n"/>
      <c r="C197" s="14" t="n"/>
      <c r="D197" s="13" t="n"/>
      <c r="E197" s="13" t="n"/>
      <c r="F197" s="13" t="n"/>
    </row>
    <row r="198">
      <c r="B198" s="46" t="n"/>
      <c r="C198" s="14" t="n"/>
      <c r="D198" s="13" t="n"/>
      <c r="E198" s="13" t="n"/>
      <c r="F198" s="13" t="n"/>
    </row>
    <row r="199">
      <c r="B199" s="46" t="n"/>
      <c r="C199" s="14" t="n"/>
      <c r="D199" s="13" t="n"/>
      <c r="E199" s="13" t="n"/>
      <c r="F199" s="13" t="n"/>
    </row>
    <row r="200">
      <c r="B200" s="46" t="n"/>
      <c r="C200" s="14" t="n"/>
      <c r="D200" s="13" t="n"/>
      <c r="E200" s="13" t="n"/>
      <c r="F200" s="13" t="n"/>
    </row>
    <row r="201">
      <c r="B201" s="46" t="n"/>
      <c r="C201" s="14" t="n"/>
      <c r="D201" s="13" t="n"/>
      <c r="E201" s="13" t="n"/>
      <c r="F201" s="13" t="n"/>
    </row>
    <row r="202">
      <c r="B202" s="46" t="n"/>
      <c r="C202" s="14" t="n"/>
      <c r="D202" s="13" t="n"/>
      <c r="E202" s="13" t="n"/>
      <c r="F202" s="13" t="n"/>
    </row>
    <row r="203">
      <c r="B203" s="46" t="n"/>
      <c r="C203" s="14" t="n"/>
      <c r="D203" s="13" t="n"/>
      <c r="E203" s="13" t="n"/>
      <c r="F203" s="13" t="n"/>
    </row>
    <row r="204">
      <c r="B204" s="46" t="n"/>
      <c r="C204" s="14" t="n"/>
      <c r="D204" s="13" t="n"/>
      <c r="E204" s="13" t="n"/>
      <c r="F204" s="13" t="n"/>
    </row>
    <row r="205">
      <c r="B205" s="46" t="n"/>
      <c r="C205" s="14" t="n"/>
      <c r="D205" s="13" t="n"/>
      <c r="E205" s="13" t="n"/>
      <c r="F205" s="13" t="n"/>
    </row>
    <row r="206">
      <c r="B206" s="46" t="n"/>
      <c r="C206" s="14" t="n"/>
      <c r="D206" s="13" t="n"/>
      <c r="E206" s="13" t="n"/>
      <c r="F206" s="13" t="n"/>
    </row>
    <row r="207">
      <c r="B207" s="46" t="n"/>
      <c r="C207" s="14" t="n"/>
      <c r="D207" s="13" t="n"/>
      <c r="E207" s="13" t="n"/>
      <c r="F207" s="13" t="n"/>
    </row>
    <row r="208">
      <c r="B208" s="46" t="n"/>
      <c r="C208" s="14" t="n"/>
      <c r="D208" s="13" t="n"/>
      <c r="E208" s="13" t="n"/>
      <c r="F208" s="13" t="n"/>
    </row>
    <row r="209">
      <c r="B209" s="46" t="n"/>
      <c r="C209" s="14" t="n"/>
      <c r="D209" s="13" t="n"/>
      <c r="E209" s="13" t="n"/>
      <c r="F209" s="13" t="n"/>
    </row>
    <row r="210">
      <c r="B210" s="46" t="n"/>
      <c r="C210" s="14" t="n"/>
      <c r="D210" s="13" t="n"/>
      <c r="E210" s="13" t="n"/>
      <c r="F210" s="13" t="n"/>
    </row>
    <row r="211">
      <c r="B211" s="46" t="n"/>
      <c r="C211" s="14" t="n"/>
      <c r="D211" s="13" t="n"/>
      <c r="E211" s="13" t="n"/>
      <c r="F211" s="13" t="n"/>
    </row>
    <row r="212">
      <c r="B212" s="46" t="n"/>
      <c r="C212" s="14" t="n"/>
      <c r="D212" s="13" t="n"/>
      <c r="E212" s="13" t="n"/>
      <c r="F212" s="13" t="n"/>
    </row>
    <row r="213">
      <c r="B213" s="46" t="n"/>
      <c r="C213" s="14" t="n"/>
      <c r="D213" s="13" t="n"/>
      <c r="E213" s="13" t="n"/>
      <c r="F213" s="13" t="n"/>
    </row>
    <row r="214">
      <c r="B214" s="46" t="n"/>
      <c r="C214" s="14" t="n"/>
      <c r="D214" s="13" t="n"/>
      <c r="E214" s="13" t="n"/>
      <c r="F214" s="13" t="n"/>
    </row>
    <row r="215">
      <c r="B215" s="46" t="n"/>
      <c r="C215" s="14" t="n"/>
      <c r="D215" s="13" t="n"/>
      <c r="E215" s="13" t="n"/>
      <c r="F215" s="13" t="n"/>
    </row>
    <row r="216">
      <c r="B216" s="46" t="n"/>
      <c r="C216" s="14" t="n"/>
      <c r="D216" s="13" t="n"/>
      <c r="E216" s="13" t="n"/>
      <c r="F216" s="13" t="n"/>
    </row>
    <row r="217">
      <c r="B217" s="46" t="n"/>
      <c r="C217" s="14" t="n"/>
      <c r="D217" s="13" t="n"/>
      <c r="E217" s="13" t="n"/>
      <c r="F217" s="13" t="n"/>
    </row>
    <row r="218">
      <c r="B218" s="46" t="n"/>
      <c r="C218" s="14" t="n"/>
      <c r="D218" s="13" t="n"/>
      <c r="E218" s="13" t="n"/>
      <c r="F218" s="13" t="n"/>
    </row>
    <row r="219">
      <c r="B219" s="46" t="n"/>
      <c r="C219" s="14" t="n"/>
      <c r="D219" s="13" t="n"/>
      <c r="E219" s="13" t="n"/>
      <c r="F219" s="13" t="n"/>
    </row>
    <row r="220">
      <c r="B220" s="46" t="n"/>
      <c r="C220" s="14" t="n"/>
      <c r="D220" s="13" t="n"/>
      <c r="E220" s="13" t="n"/>
      <c r="F220" s="13" t="n"/>
    </row>
    <row r="221">
      <c r="B221" s="46" t="n"/>
      <c r="C221" s="14" t="n"/>
      <c r="D221" s="13" t="n"/>
      <c r="E221" s="13" t="n"/>
      <c r="F221" s="13" t="n"/>
    </row>
    <row r="222">
      <c r="B222" s="46" t="n"/>
      <c r="C222" s="14" t="n"/>
      <c r="D222" s="13" t="n"/>
      <c r="E222" s="13" t="n"/>
      <c r="F222" s="13" t="n"/>
    </row>
    <row r="223">
      <c r="B223" s="46" t="n"/>
      <c r="C223" s="14" t="n"/>
      <c r="D223" s="13" t="n"/>
      <c r="E223" s="13" t="n"/>
      <c r="F223" s="13" t="n"/>
    </row>
    <row r="224">
      <c r="B224" s="46" t="n"/>
      <c r="C224" s="14" t="n"/>
      <c r="D224" s="13" t="n"/>
      <c r="E224" s="13" t="n"/>
      <c r="F224" s="13" t="n"/>
    </row>
    <row r="225">
      <c r="B225" s="46" t="n"/>
      <c r="C225" s="14" t="n"/>
      <c r="D225" s="13" t="n"/>
      <c r="E225" s="13" t="n"/>
      <c r="F225" s="13" t="n"/>
    </row>
    <row r="226">
      <c r="B226" s="46" t="n"/>
      <c r="C226" s="14" t="n"/>
      <c r="D226" s="13" t="n"/>
      <c r="E226" s="13" t="n"/>
      <c r="F226" s="13" t="n"/>
    </row>
    <row r="227">
      <c r="B227" s="46" t="n"/>
      <c r="C227" s="14" t="n"/>
      <c r="D227" s="13" t="n"/>
      <c r="E227" s="13" t="n"/>
      <c r="F227" s="13" t="n"/>
    </row>
    <row r="228">
      <c r="B228" s="46" t="n"/>
      <c r="C228" s="14" t="n"/>
      <c r="D228" s="13" t="n"/>
      <c r="E228" s="13" t="n"/>
      <c r="F228" s="13" t="n"/>
    </row>
    <row r="229">
      <c r="B229" s="46" t="n"/>
      <c r="C229" s="14" t="n"/>
      <c r="D229" s="13" t="n"/>
      <c r="E229" s="13" t="n"/>
      <c r="F229" s="13" t="n"/>
    </row>
    <row r="230">
      <c r="B230" s="46" t="n"/>
      <c r="C230" s="14" t="n"/>
      <c r="D230" s="13" t="n"/>
      <c r="E230" s="13" t="n"/>
      <c r="F230" s="13" t="n"/>
    </row>
    <row r="231">
      <c r="B231" s="46" t="n"/>
      <c r="C231" s="14" t="n"/>
      <c r="D231" s="13" t="n"/>
      <c r="E231" s="13" t="n"/>
      <c r="F231" s="13" t="n"/>
    </row>
    <row r="232">
      <c r="B232" s="46" t="n"/>
      <c r="C232" s="14" t="n"/>
      <c r="D232" s="13" t="n"/>
      <c r="E232" s="13" t="n"/>
      <c r="F232" s="13" t="n"/>
    </row>
    <row r="233">
      <c r="B233" s="46" t="n"/>
      <c r="C233" s="14" t="n"/>
      <c r="D233" s="13" t="n"/>
      <c r="E233" s="13" t="n"/>
      <c r="F233" s="13" t="n"/>
    </row>
    <row r="234">
      <c r="B234" s="46" t="n"/>
      <c r="C234" s="14" t="n"/>
      <c r="D234" s="13" t="n"/>
      <c r="E234" s="13" t="n"/>
      <c r="F234" s="13" t="n"/>
    </row>
    <row r="235">
      <c r="B235" s="46" t="n"/>
      <c r="C235" s="14" t="n"/>
      <c r="D235" s="13" t="n"/>
      <c r="E235" s="13" t="n"/>
      <c r="F235" s="13" t="n"/>
    </row>
    <row r="236">
      <c r="B236" s="46" t="n"/>
      <c r="C236" s="14" t="n"/>
      <c r="D236" s="13" t="n"/>
      <c r="E236" s="13" t="n"/>
      <c r="F236" s="13" t="n"/>
    </row>
    <row r="237">
      <c r="B237" s="46" t="n"/>
      <c r="C237" s="14" t="n"/>
      <c r="D237" s="13" t="n"/>
      <c r="E237" s="13" t="n"/>
      <c r="F237" s="13" t="n"/>
    </row>
    <row r="238">
      <c r="B238" s="46" t="n"/>
      <c r="C238" s="14" t="n"/>
      <c r="D238" s="13" t="n"/>
      <c r="E238" s="13" t="n"/>
      <c r="F238" s="13" t="n"/>
    </row>
    <row r="239">
      <c r="B239" s="46" t="n"/>
      <c r="C239" s="14" t="n"/>
      <c r="D239" s="13" t="n"/>
      <c r="E239" s="13" t="n"/>
      <c r="F239" s="13" t="n"/>
    </row>
    <row r="240">
      <c r="B240" s="46" t="n"/>
      <c r="C240" s="14" t="n"/>
      <c r="D240" s="13" t="n"/>
      <c r="E240" s="13" t="n"/>
      <c r="F240" s="13" t="n"/>
    </row>
    <row r="241">
      <c r="B241" s="46" t="n"/>
      <c r="C241" s="14" t="n"/>
      <c r="D241" s="13" t="n"/>
      <c r="E241" s="13" t="n"/>
      <c r="F241" s="13" t="n"/>
    </row>
    <row r="242">
      <c r="B242" s="46" t="n"/>
      <c r="C242" s="14" t="n"/>
      <c r="D242" s="13" t="n"/>
      <c r="E242" s="13" t="n"/>
      <c r="F242" s="13" t="n"/>
    </row>
    <row r="243">
      <c r="B243" s="46" t="n"/>
      <c r="C243" s="14" t="n"/>
      <c r="D243" s="13" t="n"/>
      <c r="E243" s="13" t="n"/>
      <c r="F243" s="13" t="n"/>
    </row>
    <row r="244">
      <c r="B244" s="46" t="n"/>
      <c r="C244" s="14" t="n"/>
      <c r="D244" s="13" t="n"/>
      <c r="E244" s="13" t="n"/>
      <c r="F244" s="13" t="n"/>
    </row>
    <row r="245">
      <c r="B245" s="46" t="n"/>
      <c r="C245" s="14" t="n"/>
      <c r="D245" s="13" t="n"/>
      <c r="E245" s="13" t="n"/>
      <c r="F245" s="13" t="n"/>
    </row>
    <row r="246">
      <c r="B246" s="46" t="n"/>
      <c r="C246" s="14" t="n"/>
      <c r="D246" s="13" t="n"/>
      <c r="E246" s="13" t="n"/>
      <c r="F246" s="13" t="n"/>
    </row>
    <row r="247">
      <c r="B247" s="46" t="n"/>
      <c r="C247" s="14" t="n"/>
      <c r="D247" s="13" t="n"/>
      <c r="E247" s="13" t="n"/>
      <c r="F247" s="13" t="n"/>
    </row>
    <row r="248">
      <c r="B248" s="46" t="n"/>
      <c r="C248" s="14" t="n"/>
      <c r="D248" s="13" t="n"/>
      <c r="E248" s="13" t="n"/>
      <c r="F248" s="13" t="n"/>
    </row>
    <row r="249">
      <c r="B249" s="46" t="n"/>
      <c r="C249" s="14" t="n"/>
      <c r="D249" s="13" t="n"/>
      <c r="E249" s="13" t="n"/>
      <c r="F249" s="13" t="n"/>
    </row>
    <row r="250">
      <c r="B250" s="46" t="n"/>
      <c r="C250" s="14" t="n"/>
      <c r="D250" s="13" t="n"/>
      <c r="E250" s="13" t="n"/>
      <c r="F250" s="13" t="n"/>
    </row>
    <row r="251">
      <c r="B251" s="46" t="n"/>
      <c r="C251" s="14" t="n"/>
      <c r="D251" s="13" t="n"/>
      <c r="E251" s="13" t="n"/>
      <c r="F251" s="13" t="n"/>
    </row>
    <row r="252">
      <c r="B252" s="46" t="n"/>
      <c r="C252" s="14" t="n"/>
      <c r="D252" s="13" t="n"/>
      <c r="E252" s="13" t="n"/>
      <c r="F252" s="13" t="n"/>
    </row>
    <row r="253">
      <c r="B253" s="46" t="n"/>
      <c r="C253" s="14" t="n"/>
      <c r="D253" s="13" t="n"/>
      <c r="E253" s="13" t="n"/>
      <c r="F253" s="13" t="n"/>
    </row>
    <row r="254">
      <c r="B254" s="46" t="n"/>
      <c r="C254" s="14" t="n"/>
      <c r="D254" s="13" t="n"/>
      <c r="E254" s="13" t="n"/>
      <c r="F254" s="13" t="n"/>
    </row>
    <row r="255">
      <c r="B255" s="46" t="n"/>
      <c r="C255" s="14" t="n"/>
      <c r="D255" s="13" t="n"/>
      <c r="E255" s="13" t="n"/>
      <c r="F255" s="13" t="n"/>
    </row>
    <row r="256">
      <c r="B256" s="46" t="n"/>
      <c r="C256" s="14" t="n"/>
      <c r="D256" s="13" t="n"/>
      <c r="E256" s="13" t="n"/>
      <c r="F256" s="13" t="n"/>
    </row>
    <row r="257">
      <c r="B257" s="46" t="n"/>
      <c r="C257" s="14" t="n"/>
      <c r="D257" s="13" t="n"/>
      <c r="E257" s="13" t="n"/>
      <c r="F257" s="13" t="n"/>
    </row>
    <row r="258">
      <c r="B258" s="46" t="n"/>
      <c r="C258" s="14" t="n"/>
      <c r="D258" s="13" t="n"/>
      <c r="E258" s="13" t="n"/>
      <c r="F258" s="13" t="n"/>
    </row>
    <row r="259">
      <c r="B259" s="46" t="n"/>
      <c r="C259" s="14" t="n"/>
      <c r="D259" s="13" t="n"/>
      <c r="E259" s="13" t="n"/>
      <c r="F259" s="13" t="n"/>
    </row>
    <row r="260">
      <c r="B260" s="46" t="n"/>
      <c r="C260" s="14" t="n"/>
      <c r="D260" s="13" t="n"/>
      <c r="E260" s="13" t="n"/>
      <c r="F260" s="13" t="n"/>
    </row>
    <row r="261">
      <c r="B261" s="46" t="n"/>
      <c r="C261" s="14" t="n"/>
      <c r="D261" s="13" t="n"/>
      <c r="E261" s="13" t="n"/>
      <c r="F261" s="13" t="n"/>
    </row>
    <row r="262">
      <c r="B262" s="46" t="n"/>
      <c r="C262" s="14" t="n"/>
      <c r="D262" s="13" t="n"/>
      <c r="E262" s="13" t="n"/>
      <c r="F262" s="13" t="n"/>
    </row>
    <row r="263">
      <c r="B263" s="46" t="n"/>
      <c r="C263" s="14" t="n"/>
      <c r="D263" s="13" t="n"/>
      <c r="E263" s="13" t="n"/>
      <c r="F263" s="13" t="n"/>
    </row>
    <row r="264">
      <c r="B264" s="46" t="n"/>
      <c r="C264" s="14" t="n"/>
      <c r="D264" s="13" t="n"/>
      <c r="E264" s="13" t="n"/>
      <c r="F264" s="13" t="n"/>
    </row>
    <row r="265">
      <c r="B265" s="46" t="n"/>
      <c r="C265" s="14" t="n"/>
      <c r="D265" s="13" t="n"/>
      <c r="E265" s="13" t="n"/>
      <c r="F265" s="13" t="n"/>
    </row>
    <row r="266">
      <c r="B266" s="46" t="n"/>
      <c r="C266" s="14" t="n"/>
      <c r="D266" s="13" t="n"/>
      <c r="E266" s="13" t="n"/>
      <c r="F266" s="13" t="n"/>
    </row>
    <row r="267">
      <c r="B267" s="46" t="n"/>
      <c r="C267" s="14" t="n"/>
      <c r="D267" s="13" t="n"/>
      <c r="E267" s="13" t="n"/>
      <c r="F267" s="13" t="n"/>
    </row>
    <row r="268">
      <c r="B268" s="46" t="n"/>
      <c r="C268" s="14" t="n"/>
      <c r="D268" s="13" t="n"/>
      <c r="E268" s="13" t="n"/>
      <c r="F268" s="13" t="n"/>
    </row>
    <row r="269">
      <c r="B269" s="46" t="n"/>
      <c r="C269" s="14" t="n"/>
      <c r="D269" s="13" t="n"/>
      <c r="E269" s="13" t="n"/>
      <c r="F269" s="13" t="n"/>
    </row>
    <row r="270">
      <c r="B270" s="46" t="n"/>
      <c r="C270" s="14" t="n"/>
      <c r="D270" s="13" t="n"/>
      <c r="E270" s="13" t="n"/>
      <c r="F270" s="13" t="n"/>
    </row>
    <row r="271">
      <c r="B271" s="46" t="n"/>
      <c r="C271" s="14" t="n"/>
      <c r="D271" s="13" t="n"/>
      <c r="E271" s="13" t="n"/>
      <c r="F271" s="13" t="n"/>
    </row>
    <row r="272">
      <c r="B272" s="46" t="n"/>
      <c r="C272" s="14" t="n"/>
      <c r="D272" s="13" t="n"/>
      <c r="E272" s="13" t="n"/>
      <c r="F272" s="13" t="n"/>
    </row>
    <row r="273">
      <c r="B273" s="46" t="n"/>
      <c r="C273" s="14" t="n"/>
      <c r="D273" s="13" t="n"/>
      <c r="E273" s="13" t="n"/>
      <c r="F273" s="13" t="n"/>
    </row>
    <row r="274">
      <c r="B274" s="46" t="n"/>
      <c r="C274" s="14" t="n"/>
      <c r="D274" s="13" t="n"/>
      <c r="E274" s="13" t="n"/>
      <c r="F274" s="13" t="n"/>
    </row>
    <row r="275">
      <c r="B275" s="46" t="n"/>
      <c r="C275" s="14" t="n"/>
      <c r="D275" s="13" t="n"/>
      <c r="E275" s="13" t="n"/>
      <c r="F275" s="13" t="n"/>
    </row>
    <row r="276">
      <c r="B276" s="46" t="n"/>
      <c r="C276" s="14" t="n"/>
      <c r="D276" s="13" t="n"/>
      <c r="E276" s="13" t="n"/>
      <c r="F276" s="13" t="n"/>
    </row>
    <row r="277">
      <c r="B277" s="46" t="n"/>
      <c r="C277" s="14" t="n"/>
      <c r="D277" s="13" t="n"/>
      <c r="E277" s="13" t="n"/>
      <c r="F277" s="13" t="n"/>
    </row>
    <row r="278">
      <c r="B278" s="46" t="n"/>
      <c r="C278" s="14" t="n"/>
      <c r="D278" s="13" t="n"/>
      <c r="E278" s="13" t="n"/>
      <c r="F278" s="13" t="n"/>
    </row>
    <row r="279">
      <c r="B279" s="46" t="n"/>
      <c r="C279" s="14" t="n"/>
      <c r="D279" s="13" t="n"/>
      <c r="E279" s="13" t="n"/>
      <c r="F279" s="13" t="n"/>
    </row>
    <row r="280">
      <c r="B280" s="46" t="n"/>
      <c r="C280" s="14" t="n"/>
      <c r="D280" s="13" t="n"/>
      <c r="E280" s="13" t="n"/>
      <c r="F280" s="13" t="n"/>
    </row>
    <row r="281">
      <c r="B281" s="46" t="n"/>
      <c r="C281" s="14" t="n"/>
      <c r="D281" s="13" t="n"/>
      <c r="E281" s="13" t="n"/>
      <c r="F281" s="13" t="n"/>
    </row>
    <row r="282">
      <c r="B282" s="46" t="n"/>
      <c r="C282" s="14" t="n"/>
      <c r="D282" s="13" t="n"/>
      <c r="E282" s="13" t="n"/>
      <c r="F282" s="13" t="n"/>
    </row>
    <row r="283">
      <c r="B283" s="46" t="n"/>
      <c r="C283" s="14" t="n"/>
      <c r="D283" s="13" t="n"/>
      <c r="E283" s="13" t="n"/>
      <c r="F283" s="13" t="n"/>
    </row>
    <row r="284">
      <c r="B284" s="46" t="n"/>
      <c r="C284" s="14" t="n"/>
      <c r="D284" s="13" t="n"/>
      <c r="E284" s="13" t="n"/>
      <c r="F284" s="13" t="n"/>
    </row>
    <row r="285">
      <c r="B285" s="46" t="n"/>
      <c r="C285" s="14" t="n"/>
      <c r="D285" s="13" t="n"/>
      <c r="E285" s="13" t="n"/>
      <c r="F285" s="13" t="n"/>
    </row>
    <row r="286">
      <c r="B286" s="46" t="n"/>
      <c r="C286" s="14" t="n"/>
      <c r="D286" s="13" t="n"/>
      <c r="E286" s="13" t="n"/>
      <c r="F286" s="13" t="n"/>
    </row>
    <row r="287">
      <c r="B287" s="46" t="n"/>
      <c r="C287" s="14" t="n"/>
      <c r="D287" s="13" t="n"/>
      <c r="E287" s="13" t="n"/>
      <c r="F287" s="13" t="n"/>
    </row>
    <row r="288">
      <c r="B288" s="46" t="n"/>
      <c r="C288" s="14" t="n"/>
      <c r="D288" s="13" t="n"/>
      <c r="E288" s="13" t="n"/>
      <c r="F288" s="13" t="n"/>
    </row>
    <row r="289">
      <c r="B289" s="46" t="n"/>
      <c r="C289" s="14" t="n"/>
      <c r="D289" s="13" t="n"/>
      <c r="E289" s="13" t="n"/>
      <c r="F289" s="13" t="n"/>
    </row>
    <row r="290">
      <c r="B290" s="46" t="n"/>
      <c r="C290" s="14" t="n"/>
      <c r="D290" s="13" t="n"/>
      <c r="E290" s="13" t="n"/>
      <c r="F290" s="13" t="n"/>
    </row>
    <row r="291">
      <c r="B291" s="46" t="n"/>
      <c r="C291" s="14" t="n"/>
      <c r="D291" s="13" t="n"/>
      <c r="E291" s="13" t="n"/>
      <c r="F291" s="13" t="n"/>
    </row>
    <row r="292">
      <c r="B292" s="46" t="n"/>
      <c r="C292" s="14" t="n"/>
      <c r="D292" s="13" t="n"/>
      <c r="E292" s="13" t="n"/>
      <c r="F292" s="13" t="n"/>
    </row>
    <row r="293">
      <c r="B293" s="46" t="n"/>
      <c r="C293" s="14" t="n"/>
      <c r="D293" s="13" t="n"/>
      <c r="E293" s="13" t="n"/>
      <c r="F293" s="13" t="n"/>
    </row>
    <row r="294">
      <c r="B294" s="46" t="n"/>
      <c r="C294" s="14" t="n"/>
      <c r="D294" s="13" t="n"/>
      <c r="E294" s="13" t="n"/>
      <c r="F294" s="13" t="n"/>
    </row>
    <row r="295">
      <c r="B295" s="46" t="n"/>
      <c r="C295" s="14" t="n"/>
      <c r="D295" s="13" t="n"/>
      <c r="E295" s="13" t="n"/>
      <c r="F295" s="13" t="n"/>
    </row>
    <row r="296">
      <c r="B296" s="46" t="n"/>
      <c r="C296" s="14" t="n"/>
      <c r="D296" s="13" t="n"/>
      <c r="E296" s="13" t="n"/>
      <c r="F296" s="13" t="n"/>
    </row>
    <row r="297">
      <c r="B297" s="46" t="n"/>
      <c r="C297" s="14" t="n"/>
      <c r="D297" s="13" t="n"/>
      <c r="E297" s="13" t="n"/>
      <c r="F297" s="13" t="n"/>
    </row>
    <row r="298">
      <c r="B298" s="46" t="n"/>
      <c r="C298" s="14" t="n"/>
      <c r="D298" s="13" t="n"/>
      <c r="E298" s="13" t="n"/>
      <c r="F298" s="13" t="n"/>
    </row>
    <row r="299">
      <c r="B299" s="46" t="n"/>
      <c r="C299" s="14" t="n"/>
      <c r="D299" s="13" t="n"/>
      <c r="E299" s="13" t="n"/>
      <c r="F299" s="13" t="n"/>
    </row>
    <row r="300">
      <c r="B300" s="46" t="n"/>
      <c r="C300" s="14" t="n"/>
      <c r="D300" s="13" t="n"/>
      <c r="E300" s="13" t="n"/>
      <c r="F300" s="13" t="n"/>
    </row>
    <row r="301">
      <c r="B301" s="46" t="n"/>
      <c r="C301" s="14" t="n"/>
      <c r="D301" s="13" t="n"/>
      <c r="E301" s="13" t="n"/>
      <c r="F301" s="13" t="n"/>
    </row>
    <row r="302">
      <c r="B302" s="46" t="n"/>
      <c r="C302" s="14" t="n"/>
      <c r="D302" s="13" t="n"/>
      <c r="E302" s="13" t="n"/>
      <c r="F302" s="13" t="n"/>
    </row>
    <row r="303">
      <c r="B303" s="46" t="n"/>
      <c r="C303" s="14" t="n"/>
      <c r="D303" s="13" t="n"/>
      <c r="E303" s="13" t="n"/>
      <c r="F303" s="13" t="n"/>
    </row>
    <row r="304">
      <c r="B304" s="46" t="n"/>
      <c r="C304" s="14" t="n"/>
      <c r="D304" s="13" t="n"/>
      <c r="E304" s="13" t="n"/>
      <c r="F304" s="13" t="n"/>
    </row>
    <row r="305">
      <c r="B305" s="46" t="n"/>
      <c r="C305" s="14" t="n"/>
      <c r="D305" s="13" t="n"/>
      <c r="E305" s="13" t="n"/>
      <c r="F305" s="13" t="n"/>
    </row>
    <row r="306">
      <c r="B306" s="46" t="n"/>
      <c r="C306" s="14" t="n"/>
      <c r="D306" s="13" t="n"/>
      <c r="E306" s="13" t="n"/>
      <c r="F306" s="13" t="n"/>
    </row>
    <row r="307">
      <c r="B307" s="46" t="n"/>
      <c r="C307" s="14" t="n"/>
      <c r="D307" s="13" t="n"/>
      <c r="E307" s="13" t="n"/>
      <c r="F307" s="13" t="n"/>
    </row>
    <row r="308">
      <c r="B308" s="46" t="n"/>
      <c r="C308" s="14" t="n"/>
      <c r="D308" s="13" t="n"/>
      <c r="E308" s="13" t="n"/>
      <c r="F308" s="13" t="n"/>
    </row>
    <row r="309">
      <c r="B309" s="46" t="n"/>
      <c r="C309" s="14" t="n"/>
      <c r="D309" s="13" t="n"/>
      <c r="E309" s="13" t="n"/>
      <c r="F309" s="13" t="n"/>
    </row>
    <row r="310">
      <c r="B310" s="46" t="n"/>
      <c r="C310" s="14" t="n"/>
      <c r="D310" s="13" t="n"/>
      <c r="E310" s="13" t="n"/>
      <c r="F310" s="13" t="n"/>
    </row>
    <row r="311">
      <c r="B311" s="46" t="n"/>
      <c r="C311" s="14" t="n"/>
      <c r="D311" s="13" t="n"/>
      <c r="E311" s="13" t="n"/>
      <c r="F311" s="13" t="n"/>
    </row>
    <row r="312">
      <c r="B312" s="46" t="n"/>
      <c r="C312" s="14" t="n"/>
      <c r="D312" s="13" t="n"/>
      <c r="E312" s="13" t="n"/>
      <c r="F312" s="13" t="n"/>
    </row>
    <row r="313">
      <c r="B313" s="46" t="n"/>
      <c r="C313" s="14" t="n"/>
      <c r="D313" s="13" t="n"/>
      <c r="E313" s="13" t="n"/>
      <c r="F313" s="13" t="n"/>
    </row>
    <row r="314">
      <c r="B314" s="46" t="n"/>
      <c r="C314" s="14" t="n"/>
      <c r="D314" s="13" t="n"/>
      <c r="E314" s="13" t="n"/>
      <c r="F314" s="13" t="n"/>
    </row>
    <row r="315">
      <c r="B315" s="46" t="n"/>
      <c r="C315" s="14" t="n"/>
      <c r="D315" s="13" t="n"/>
      <c r="E315" s="13" t="n"/>
      <c r="F315" s="13" t="n"/>
    </row>
    <row r="316">
      <c r="B316" s="46" t="n"/>
      <c r="C316" s="14" t="n"/>
      <c r="D316" s="13" t="n"/>
      <c r="E316" s="13" t="n"/>
      <c r="F316" s="13" t="n"/>
    </row>
    <row r="317">
      <c r="B317" s="46" t="n"/>
      <c r="C317" s="14" t="n"/>
      <c r="D317" s="13" t="n"/>
      <c r="E317" s="13" t="n"/>
      <c r="F317" s="13" t="n"/>
    </row>
    <row r="318">
      <c r="B318" s="46" t="n"/>
      <c r="C318" s="14" t="n"/>
      <c r="D318" s="13" t="n"/>
      <c r="E318" s="13" t="n"/>
      <c r="F318" s="13" t="n"/>
    </row>
    <row r="319">
      <c r="B319" s="46" t="n"/>
      <c r="C319" s="14" t="n"/>
      <c r="D319" s="13" t="n"/>
      <c r="E319" s="13" t="n"/>
      <c r="F319" s="13" t="n"/>
    </row>
    <row r="320">
      <c r="B320" s="46" t="n"/>
      <c r="C320" s="14" t="n"/>
      <c r="D320" s="13" t="n"/>
      <c r="E320" s="13" t="n"/>
      <c r="F320" s="13" t="n"/>
    </row>
    <row r="321">
      <c r="B321" s="46" t="n"/>
      <c r="C321" s="14" t="n"/>
      <c r="D321" s="13" t="n"/>
      <c r="E321" s="13" t="n"/>
      <c r="F321" s="13" t="n"/>
    </row>
    <row r="322">
      <c r="B322" s="46" t="n"/>
      <c r="C322" s="14" t="n"/>
      <c r="D322" s="13" t="n"/>
      <c r="E322" s="13" t="n"/>
      <c r="F322" s="13" t="n"/>
    </row>
    <row r="323">
      <c r="B323" s="46" t="n"/>
      <c r="C323" s="14" t="n"/>
      <c r="D323" s="13" t="n"/>
      <c r="E323" s="13" t="n"/>
      <c r="F323" s="13" t="n"/>
    </row>
    <row r="324">
      <c r="B324" s="46" t="n"/>
      <c r="C324" s="14" t="n"/>
      <c r="D324" s="13" t="n"/>
      <c r="E324" s="13" t="n"/>
      <c r="F324" s="13" t="n"/>
    </row>
    <row r="325">
      <c r="B325" s="46" t="n"/>
      <c r="C325" s="14" t="n"/>
      <c r="D325" s="13" t="n"/>
      <c r="E325" s="13" t="n"/>
      <c r="F325" s="13" t="n"/>
    </row>
    <row r="326">
      <c r="B326" s="46" t="n"/>
      <c r="C326" s="14" t="n"/>
      <c r="D326" s="13" t="n"/>
      <c r="E326" s="13" t="n"/>
      <c r="F326" s="13" t="n"/>
    </row>
    <row r="327">
      <c r="B327" s="46" t="n"/>
      <c r="C327" s="14" t="n"/>
      <c r="D327" s="13" t="n"/>
      <c r="E327" s="13" t="n"/>
      <c r="F327" s="13" t="n"/>
    </row>
    <row r="328">
      <c r="B328" s="46" t="n"/>
      <c r="C328" s="14" t="n"/>
      <c r="D328" s="13" t="n"/>
      <c r="E328" s="13" t="n"/>
      <c r="F328" s="13" t="n"/>
    </row>
    <row r="329">
      <c r="B329" s="46" t="n"/>
      <c r="C329" s="14" t="n"/>
      <c r="D329" s="13" t="n"/>
      <c r="E329" s="13" t="n"/>
      <c r="F329" s="13" t="n"/>
    </row>
    <row r="330">
      <c r="B330" s="46" t="n"/>
      <c r="C330" s="14" t="n"/>
      <c r="D330" s="13" t="n"/>
      <c r="E330" s="13" t="n"/>
      <c r="F330" s="13" t="n"/>
    </row>
    <row r="331">
      <c r="B331" s="46" t="n"/>
      <c r="C331" s="14" t="n"/>
      <c r="D331" s="13" t="n"/>
      <c r="E331" s="13" t="n"/>
      <c r="F331" s="13" t="n"/>
    </row>
    <row r="332">
      <c r="B332" s="46" t="n"/>
      <c r="C332" s="14" t="n"/>
      <c r="D332" s="13" t="n"/>
      <c r="E332" s="13" t="n"/>
      <c r="F332" s="13" t="n"/>
    </row>
    <row r="333">
      <c r="B333" s="46" t="n"/>
      <c r="C333" s="14" t="n"/>
      <c r="D333" s="13" t="n"/>
      <c r="E333" s="13" t="n"/>
      <c r="F333" s="13" t="n"/>
    </row>
    <row r="334">
      <c r="B334" s="46" t="n"/>
      <c r="C334" s="14" t="n"/>
      <c r="D334" s="13" t="n"/>
      <c r="E334" s="13" t="n"/>
      <c r="F334" s="13" t="n"/>
    </row>
    <row r="335">
      <c r="B335" s="46" t="n"/>
      <c r="C335" s="14" t="n"/>
      <c r="D335" s="13" t="n"/>
      <c r="E335" s="13" t="n"/>
      <c r="F335" s="13" t="n"/>
    </row>
    <row r="336">
      <c r="B336" s="46" t="n"/>
      <c r="C336" s="14" t="n"/>
      <c r="D336" s="13" t="n"/>
      <c r="E336" s="13" t="n"/>
      <c r="F336" s="13" t="n"/>
    </row>
    <row r="337">
      <c r="B337" s="46" t="n"/>
      <c r="C337" s="14" t="n"/>
      <c r="D337" s="13" t="n"/>
      <c r="E337" s="13" t="n"/>
      <c r="F337" s="13" t="n"/>
    </row>
    <row r="338">
      <c r="B338" s="46" t="n"/>
      <c r="C338" s="14" t="n"/>
      <c r="D338" s="13" t="n"/>
      <c r="E338" s="13" t="n"/>
      <c r="F338" s="13" t="n"/>
    </row>
    <row r="339">
      <c r="B339" s="46" t="n"/>
      <c r="C339" s="14" t="n"/>
      <c r="D339" s="13" t="n"/>
      <c r="E339" s="13" t="n"/>
      <c r="F339" s="13" t="n"/>
    </row>
    <row r="340">
      <c r="B340" s="46" t="n"/>
      <c r="C340" s="14" t="n"/>
      <c r="D340" s="13" t="n"/>
      <c r="E340" s="13" t="n"/>
      <c r="F340" s="13" t="n"/>
    </row>
    <row r="341">
      <c r="B341" s="46" t="n"/>
      <c r="C341" s="14" t="n"/>
      <c r="D341" s="13" t="n"/>
      <c r="E341" s="13" t="n"/>
      <c r="F341" s="13" t="n"/>
    </row>
    <row r="342">
      <c r="B342" s="46" t="n"/>
      <c r="C342" s="14" t="n"/>
      <c r="D342" s="13" t="n"/>
      <c r="E342" s="13" t="n"/>
      <c r="F342" s="13" t="n"/>
    </row>
    <row r="343">
      <c r="B343" s="46" t="n"/>
      <c r="C343" s="14" t="n"/>
      <c r="D343" s="13" t="n"/>
      <c r="E343" s="13" t="n"/>
      <c r="F343" s="13" t="n"/>
    </row>
    <row r="344">
      <c r="B344" s="46" t="n"/>
      <c r="C344" s="14" t="n"/>
      <c r="D344" s="13" t="n"/>
      <c r="E344" s="13" t="n"/>
      <c r="F344" s="13" t="n"/>
    </row>
    <row r="345">
      <c r="B345" s="46" t="n"/>
      <c r="C345" s="14" t="n"/>
      <c r="D345" s="13" t="n"/>
      <c r="E345" s="13" t="n"/>
      <c r="F345" s="13" t="n"/>
    </row>
    <row r="346">
      <c r="B346" s="46" t="n"/>
      <c r="C346" s="14" t="n"/>
      <c r="D346" s="13" t="n"/>
      <c r="E346" s="13" t="n"/>
      <c r="F346" s="13" t="n"/>
    </row>
    <row r="347">
      <c r="B347" s="46" t="n"/>
      <c r="C347" s="14" t="n"/>
      <c r="D347" s="13" t="n"/>
      <c r="E347" s="13" t="n"/>
      <c r="F347" s="13" t="n"/>
    </row>
    <row r="348">
      <c r="B348" s="46" t="n"/>
      <c r="C348" s="14" t="n"/>
      <c r="D348" s="13" t="n"/>
      <c r="E348" s="13" t="n"/>
      <c r="F348" s="13" t="n"/>
    </row>
    <row r="349">
      <c r="B349" s="46" t="n"/>
      <c r="C349" s="14" t="n"/>
      <c r="D349" s="13" t="n"/>
      <c r="E349" s="13" t="n"/>
      <c r="F349" s="13" t="n"/>
    </row>
    <row r="350">
      <c r="B350" s="46" t="n"/>
      <c r="C350" s="14" t="n"/>
      <c r="D350" s="13" t="n"/>
      <c r="E350" s="13" t="n"/>
      <c r="F350" s="13" t="n"/>
    </row>
    <row r="351">
      <c r="B351" s="46" t="n"/>
      <c r="C351" s="14" t="n"/>
      <c r="D351" s="13" t="n"/>
      <c r="E351" s="13" t="n"/>
      <c r="F351" s="13" t="n"/>
    </row>
    <row r="352">
      <c r="B352" s="46" t="n"/>
      <c r="C352" s="14" t="n"/>
      <c r="D352" s="13" t="n"/>
      <c r="E352" s="13" t="n"/>
      <c r="F352" s="13" t="n"/>
    </row>
    <row r="353">
      <c r="B353" s="46" t="n"/>
      <c r="C353" s="14" t="n"/>
      <c r="D353" s="13" t="n"/>
      <c r="E353" s="13" t="n"/>
      <c r="F353" s="13" t="n"/>
    </row>
    <row r="354">
      <c r="B354" s="46" t="n"/>
      <c r="C354" s="14" t="n"/>
      <c r="D354" s="13" t="n"/>
      <c r="E354" s="13" t="n"/>
      <c r="F354" s="13" t="n"/>
    </row>
    <row r="355">
      <c r="B355" s="46" t="n"/>
      <c r="C355" s="14" t="n"/>
      <c r="D355" s="13" t="n"/>
      <c r="E355" s="13" t="n"/>
      <c r="F355" s="13" t="n"/>
    </row>
    <row r="356">
      <c r="B356" s="46" t="n"/>
      <c r="C356" s="14" t="n"/>
      <c r="D356" s="13" t="n"/>
      <c r="E356" s="13" t="n"/>
      <c r="F356" s="13" t="n"/>
    </row>
    <row r="357">
      <c r="B357" s="46" t="n"/>
      <c r="C357" s="14" t="n"/>
      <c r="D357" s="13" t="n"/>
      <c r="E357" s="13" t="n"/>
      <c r="F357" s="13" t="n"/>
    </row>
    <row r="358">
      <c r="B358" s="46" t="n"/>
      <c r="C358" s="14" t="n"/>
      <c r="D358" s="13" t="n"/>
      <c r="E358" s="13" t="n"/>
      <c r="F358" s="13" t="n"/>
    </row>
    <row r="359">
      <c r="B359" s="46" t="n"/>
      <c r="C359" s="14" t="n"/>
      <c r="D359" s="13" t="n"/>
      <c r="E359" s="13" t="n"/>
      <c r="F359" s="13" t="n"/>
    </row>
    <row r="360">
      <c r="B360" s="46" t="n"/>
      <c r="C360" s="14" t="n"/>
      <c r="D360" s="13" t="n"/>
      <c r="E360" s="13" t="n"/>
      <c r="F360" s="13" t="n"/>
    </row>
    <row r="361">
      <c r="B361" s="46" t="n"/>
      <c r="C361" s="14" t="n"/>
      <c r="D361" s="13" t="n"/>
      <c r="E361" s="13" t="n"/>
      <c r="F361" s="13" t="n"/>
    </row>
    <row r="362">
      <c r="B362" s="46" t="n"/>
      <c r="C362" s="14" t="n"/>
      <c r="D362" s="13" t="n"/>
      <c r="E362" s="13" t="n"/>
      <c r="F362" s="13" t="n"/>
    </row>
    <row r="363">
      <c r="B363" s="46" t="n"/>
      <c r="C363" s="14" t="n"/>
      <c r="D363" s="13" t="n"/>
      <c r="E363" s="13" t="n"/>
      <c r="F363" s="13" t="n"/>
    </row>
    <row r="364">
      <c r="B364" s="46" t="n"/>
      <c r="C364" s="14" t="n"/>
      <c r="D364" s="13" t="n"/>
      <c r="E364" s="13" t="n"/>
      <c r="F364" s="13" t="n"/>
    </row>
    <row r="365">
      <c r="B365" s="46" t="n"/>
      <c r="C365" s="14" t="n"/>
      <c r="D365" s="13" t="n"/>
      <c r="E365" s="13" t="n"/>
      <c r="F365" s="13" t="n"/>
    </row>
    <row r="366">
      <c r="B366" s="46" t="n"/>
      <c r="C366" s="14" t="n"/>
      <c r="D366" s="13" t="n"/>
      <c r="E366" s="13" t="n"/>
      <c r="F366" s="13" t="n"/>
    </row>
    <row r="367">
      <c r="B367" s="46" t="n"/>
      <c r="C367" s="14" t="n"/>
      <c r="D367" s="13" t="n"/>
      <c r="E367" s="13" t="n"/>
      <c r="F367" s="13" t="n"/>
    </row>
    <row r="368">
      <c r="B368" s="46" t="n"/>
      <c r="C368" s="14" t="n"/>
      <c r="D368" s="13" t="n"/>
      <c r="E368" s="13" t="n"/>
      <c r="F368" s="13" t="n"/>
    </row>
    <row r="369">
      <c r="B369" s="46" t="n"/>
      <c r="C369" s="14" t="n"/>
      <c r="D369" s="13" t="n"/>
      <c r="E369" s="13" t="n"/>
      <c r="F369" s="13" t="n"/>
    </row>
    <row r="370">
      <c r="B370" s="46" t="n"/>
      <c r="C370" s="14" t="n"/>
      <c r="D370" s="13" t="n"/>
      <c r="E370" s="13" t="n"/>
      <c r="F370" s="13" t="n"/>
    </row>
    <row r="371">
      <c r="B371" s="46" t="n"/>
      <c r="C371" s="14" t="n"/>
      <c r="D371" s="13" t="n"/>
      <c r="E371" s="13" t="n"/>
      <c r="F371" s="13" t="n"/>
    </row>
    <row r="372">
      <c r="B372" s="46" t="n"/>
      <c r="C372" s="14" t="n"/>
      <c r="D372" s="13" t="n"/>
      <c r="E372" s="13" t="n"/>
      <c r="F372" s="13" t="n"/>
    </row>
    <row r="373">
      <c r="B373" s="46" t="n"/>
      <c r="C373" s="14" t="n"/>
      <c r="D373" s="13" t="n"/>
      <c r="E373" s="13" t="n"/>
      <c r="F373" s="13" t="n"/>
    </row>
    <row r="374">
      <c r="B374" s="46" t="n"/>
      <c r="C374" s="14" t="n"/>
      <c r="D374" s="13" t="n"/>
      <c r="E374" s="13" t="n"/>
      <c r="F374" s="13" t="n"/>
    </row>
    <row r="375">
      <c r="B375" s="46" t="n"/>
      <c r="C375" s="14" t="n"/>
      <c r="D375" s="13" t="n"/>
      <c r="E375" s="13" t="n"/>
      <c r="F375" s="13" t="n"/>
    </row>
    <row r="376">
      <c r="B376" s="46" t="n"/>
      <c r="C376" s="14" t="n"/>
      <c r="D376" s="13" t="n"/>
      <c r="E376" s="13" t="n"/>
      <c r="F376" s="13" t="n"/>
    </row>
    <row r="377">
      <c r="B377" s="46" t="n"/>
      <c r="C377" s="14" t="n"/>
      <c r="D377" s="13" t="n"/>
      <c r="E377" s="13" t="n"/>
      <c r="F377" s="13" t="n"/>
    </row>
    <row r="378">
      <c r="B378" s="46" t="n"/>
      <c r="C378" s="14" t="n"/>
      <c r="D378" s="13" t="n"/>
      <c r="E378" s="13" t="n"/>
      <c r="F378" s="13" t="n"/>
    </row>
    <row r="379">
      <c r="B379" s="46" t="n"/>
      <c r="C379" s="14" t="n"/>
      <c r="D379" s="13" t="n"/>
      <c r="E379" s="13" t="n"/>
      <c r="F379" s="13" t="n"/>
    </row>
    <row r="380">
      <c r="B380" s="46" t="n"/>
      <c r="C380" s="14" t="n"/>
      <c r="D380" s="13" t="n"/>
      <c r="E380" s="13" t="n"/>
      <c r="F380" s="13" t="n"/>
    </row>
    <row r="381">
      <c r="B381" s="46" t="n"/>
      <c r="C381" s="14" t="n"/>
      <c r="D381" s="13" t="n"/>
      <c r="E381" s="13" t="n"/>
      <c r="F381" s="13" t="n"/>
    </row>
    <row r="382">
      <c r="B382" s="46" t="n"/>
      <c r="C382" s="14" t="n"/>
      <c r="D382" s="13" t="n"/>
      <c r="E382" s="13" t="n"/>
      <c r="F382" s="13" t="n"/>
    </row>
    <row r="383">
      <c r="B383" s="46" t="n"/>
      <c r="C383" s="14" t="n"/>
      <c r="D383" s="13" t="n"/>
      <c r="E383" s="13" t="n"/>
      <c r="F383" s="13" t="n"/>
    </row>
    <row r="384">
      <c r="B384" s="46" t="n"/>
      <c r="C384" s="14" t="n"/>
      <c r="D384" s="13" t="n"/>
      <c r="E384" s="13" t="n"/>
      <c r="F384" s="13" t="n"/>
    </row>
    <row r="385">
      <c r="B385" s="46" t="n"/>
      <c r="C385" s="14" t="n"/>
      <c r="D385" s="13" t="n"/>
      <c r="E385" s="13" t="n"/>
      <c r="F385" s="13" t="n"/>
    </row>
    <row r="386">
      <c r="B386" s="46" t="n"/>
      <c r="C386" s="14" t="n"/>
      <c r="D386" s="13" t="n"/>
      <c r="E386" s="13" t="n"/>
      <c r="F386" s="13" t="n"/>
    </row>
    <row r="387">
      <c r="B387" s="46" t="n"/>
      <c r="C387" s="14" t="n"/>
      <c r="D387" s="13" t="n"/>
      <c r="E387" s="13" t="n"/>
      <c r="F387" s="13" t="n"/>
    </row>
    <row r="388">
      <c r="B388" s="46" t="n"/>
      <c r="C388" s="14" t="n"/>
      <c r="D388" s="13" t="n"/>
      <c r="E388" s="13" t="n"/>
      <c r="F388" s="13" t="n"/>
    </row>
    <row r="389">
      <c r="B389" s="46" t="n"/>
      <c r="C389" s="14" t="n"/>
      <c r="D389" s="13" t="n"/>
      <c r="E389" s="13" t="n"/>
      <c r="F389" s="13" t="n"/>
    </row>
    <row r="390">
      <c r="B390" s="46" t="n"/>
      <c r="C390" s="14" t="n"/>
      <c r="D390" s="13" t="n"/>
      <c r="E390" s="13" t="n"/>
      <c r="F390" s="13" t="n"/>
    </row>
    <row r="391">
      <c r="B391" s="46" t="n"/>
      <c r="C391" s="14" t="n"/>
      <c r="D391" s="13" t="n"/>
      <c r="E391" s="13" t="n"/>
      <c r="F391" s="13" t="n"/>
    </row>
    <row r="392">
      <c r="B392" s="46" t="n"/>
      <c r="C392" s="14" t="n"/>
      <c r="D392" s="13" t="n"/>
      <c r="E392" s="13" t="n"/>
      <c r="F392" s="13" t="n"/>
    </row>
    <row r="393">
      <c r="B393" s="46" t="n"/>
      <c r="C393" s="14" t="n"/>
      <c r="D393" s="13" t="n"/>
      <c r="E393" s="13" t="n"/>
      <c r="F393" s="13" t="n"/>
    </row>
    <row r="394">
      <c r="B394" s="46" t="n"/>
      <c r="C394" s="14" t="n"/>
      <c r="D394" s="13" t="n"/>
      <c r="E394" s="13" t="n"/>
      <c r="F394" s="13" t="n"/>
    </row>
    <row r="395">
      <c r="B395" s="46" t="n"/>
      <c r="C395" s="14" t="n"/>
      <c r="D395" s="13" t="n"/>
      <c r="E395" s="13" t="n"/>
      <c r="F395" s="13" t="n"/>
    </row>
    <row r="396">
      <c r="B396" s="46" t="n"/>
      <c r="C396" s="14" t="n"/>
      <c r="D396" s="13" t="n"/>
      <c r="E396" s="13" t="n"/>
      <c r="F396" s="13" t="n"/>
    </row>
    <row r="397">
      <c r="B397" s="46" t="n"/>
      <c r="C397" s="14" t="n"/>
      <c r="D397" s="13" t="n"/>
      <c r="E397" s="13" t="n"/>
      <c r="F397" s="13" t="n"/>
    </row>
    <row r="398">
      <c r="B398" s="46" t="n"/>
      <c r="C398" s="14" t="n"/>
      <c r="D398" s="13" t="n"/>
      <c r="E398" s="13" t="n"/>
      <c r="F398" s="13" t="n"/>
    </row>
    <row r="399">
      <c r="B399" s="46" t="n"/>
      <c r="C399" s="14" t="n"/>
      <c r="D399" s="13" t="n"/>
      <c r="E399" s="13" t="n"/>
      <c r="F399" s="13" t="n"/>
    </row>
    <row r="400">
      <c r="B400" s="46" t="n"/>
      <c r="C400" s="14" t="n"/>
      <c r="D400" s="13" t="n"/>
      <c r="E400" s="13" t="n"/>
      <c r="F400" s="13" t="n"/>
    </row>
    <row r="401">
      <c r="B401" s="46" t="n"/>
      <c r="C401" s="14" t="n"/>
      <c r="D401" s="13" t="n"/>
      <c r="E401" s="13" t="n"/>
      <c r="F401" s="13" t="n"/>
    </row>
    <row r="402">
      <c r="B402" s="46" t="n"/>
      <c r="C402" s="14" t="n"/>
      <c r="D402" s="13" t="n"/>
      <c r="E402" s="13" t="n"/>
      <c r="F402" s="13" t="n"/>
    </row>
    <row r="403">
      <c r="B403" s="46" t="n"/>
      <c r="C403" s="14" t="n"/>
      <c r="D403" s="13" t="n"/>
      <c r="E403" s="13" t="n"/>
      <c r="F403" s="13" t="n"/>
    </row>
    <row r="404">
      <c r="B404" s="46" t="n"/>
      <c r="C404" s="14" t="n"/>
      <c r="D404" s="13" t="n"/>
      <c r="E404" s="13" t="n"/>
      <c r="F404" s="13" t="n"/>
    </row>
    <row r="405">
      <c r="B405" s="46" t="n"/>
      <c r="C405" s="14" t="n"/>
      <c r="D405" s="13" t="n"/>
      <c r="E405" s="13" t="n"/>
      <c r="F405" s="13" t="n"/>
    </row>
    <row r="406">
      <c r="B406" s="46" t="n"/>
      <c r="C406" s="14" t="n"/>
      <c r="D406" s="13" t="n"/>
      <c r="E406" s="13" t="n"/>
      <c r="F406" s="13" t="n"/>
    </row>
    <row r="407">
      <c r="B407" s="46" t="n"/>
      <c r="C407" s="14" t="n"/>
      <c r="D407" s="13" t="n"/>
      <c r="E407" s="13" t="n"/>
      <c r="F407" s="13" t="n"/>
    </row>
    <row r="408">
      <c r="B408" s="46" t="n"/>
      <c r="C408" s="14" t="n"/>
      <c r="D408" s="13" t="n"/>
      <c r="E408" s="13" t="n"/>
      <c r="F408" s="13" t="n"/>
    </row>
    <row r="409">
      <c r="B409" s="46" t="n"/>
      <c r="C409" s="14" t="n"/>
      <c r="D409" s="13" t="n"/>
      <c r="E409" s="13" t="n"/>
      <c r="F409" s="13" t="n"/>
    </row>
    <row r="410">
      <c r="B410" s="46" t="n"/>
      <c r="C410" s="14" t="n"/>
      <c r="D410" s="13" t="n"/>
      <c r="E410" s="13" t="n"/>
      <c r="F410" s="13" t="n"/>
    </row>
    <row r="411">
      <c r="B411" s="46" t="n"/>
      <c r="C411" s="14" t="n"/>
      <c r="D411" s="13" t="n"/>
      <c r="E411" s="13" t="n"/>
      <c r="F411" s="13" t="n"/>
    </row>
    <row r="412">
      <c r="B412" s="46" t="n"/>
      <c r="C412" s="14" t="n"/>
      <c r="D412" s="13" t="n"/>
      <c r="E412" s="13" t="n"/>
      <c r="F412" s="13" t="n"/>
    </row>
    <row r="413">
      <c r="B413" s="46" t="n"/>
      <c r="C413" s="14" t="n"/>
      <c r="D413" s="13" t="n"/>
      <c r="E413" s="13" t="n"/>
      <c r="F413" s="13" t="n"/>
    </row>
    <row r="414">
      <c r="B414" s="46" t="n"/>
      <c r="C414" s="14" t="n"/>
      <c r="D414" s="13" t="n"/>
      <c r="E414" s="13" t="n"/>
      <c r="F414" s="13" t="n"/>
    </row>
    <row r="415">
      <c r="B415" s="46" t="n"/>
      <c r="C415" s="14" t="n"/>
      <c r="D415" s="13" t="n"/>
      <c r="E415" s="13" t="n"/>
      <c r="F415" s="13" t="n"/>
    </row>
    <row r="416">
      <c r="B416" s="46" t="n"/>
      <c r="C416" s="14" t="n"/>
      <c r="D416" s="13" t="n"/>
      <c r="E416" s="13" t="n"/>
      <c r="F416" s="13" t="n"/>
    </row>
    <row r="417">
      <c r="B417" s="46" t="n"/>
      <c r="C417" s="14" t="n"/>
      <c r="D417" s="13" t="n"/>
      <c r="E417" s="13" t="n"/>
      <c r="F417" s="13" t="n"/>
    </row>
    <row r="418">
      <c r="B418" s="46" t="n"/>
      <c r="C418" s="14" t="n"/>
      <c r="D418" s="13" t="n"/>
      <c r="E418" s="13" t="n"/>
      <c r="F418" s="13" t="n"/>
    </row>
    <row r="419">
      <c r="B419" s="46" t="n"/>
      <c r="C419" s="14" t="n"/>
      <c r="D419" s="13" t="n"/>
      <c r="E419" s="13" t="n"/>
      <c r="F419" s="13" t="n"/>
    </row>
    <row r="420">
      <c r="B420" s="46" t="n"/>
      <c r="C420" s="14" t="n"/>
      <c r="D420" s="13" t="n"/>
      <c r="E420" s="13" t="n"/>
      <c r="F420" s="13" t="n"/>
    </row>
    <row r="421">
      <c r="B421" s="46" t="n"/>
      <c r="C421" s="14" t="n"/>
      <c r="D421" s="13" t="n"/>
      <c r="E421" s="13" t="n"/>
      <c r="F421" s="13" t="n"/>
    </row>
    <row r="422">
      <c r="B422" s="46" t="n"/>
      <c r="C422" s="14" t="n"/>
      <c r="D422" s="13" t="n"/>
      <c r="E422" s="13" t="n"/>
      <c r="F422" s="13" t="n"/>
    </row>
    <row r="423">
      <c r="B423" s="46" t="n"/>
      <c r="C423" s="14" t="n"/>
      <c r="D423" s="13" t="n"/>
      <c r="E423" s="13" t="n"/>
      <c r="F423" s="13" t="n"/>
    </row>
    <row r="424">
      <c r="B424" s="46" t="n"/>
      <c r="C424" s="14" t="n"/>
      <c r="D424" s="13" t="n"/>
      <c r="E424" s="13" t="n"/>
      <c r="F424" s="13" t="n"/>
    </row>
    <row r="425">
      <c r="B425" s="46" t="n"/>
      <c r="C425" s="14" t="n"/>
      <c r="D425" s="13" t="n"/>
      <c r="E425" s="13" t="n"/>
      <c r="F425" s="13" t="n"/>
    </row>
    <row r="426">
      <c r="B426" s="46" t="n"/>
      <c r="C426" s="14" t="n"/>
      <c r="D426" s="13" t="n"/>
      <c r="E426" s="13" t="n"/>
      <c r="F426" s="13" t="n"/>
    </row>
    <row r="427">
      <c r="B427" s="46" t="n"/>
      <c r="C427" s="14" t="n"/>
      <c r="D427" s="13" t="n"/>
      <c r="E427" s="13" t="n"/>
      <c r="F427" s="13" t="n"/>
    </row>
    <row r="428">
      <c r="B428" s="46" t="n"/>
      <c r="C428" s="14" t="n"/>
      <c r="D428" s="13" t="n"/>
      <c r="E428" s="13" t="n"/>
      <c r="F428" s="13" t="n"/>
    </row>
    <row r="429">
      <c r="B429" s="46" t="n"/>
      <c r="C429" s="14" t="n"/>
      <c r="D429" s="13" t="n"/>
      <c r="E429" s="13" t="n"/>
      <c r="F429" s="13" t="n"/>
    </row>
    <row r="430">
      <c r="B430" s="46" t="n"/>
      <c r="C430" s="14" t="n"/>
      <c r="D430" s="13" t="n"/>
      <c r="E430" s="13" t="n"/>
      <c r="F430" s="13" t="n"/>
    </row>
    <row r="431">
      <c r="B431" s="46" t="n"/>
      <c r="C431" s="14" t="n"/>
      <c r="D431" s="13" t="n"/>
      <c r="E431" s="13" t="n"/>
      <c r="F431" s="13" t="n"/>
    </row>
    <row r="432">
      <c r="B432" s="46" t="n"/>
      <c r="C432" s="14" t="n"/>
      <c r="D432" s="13" t="n"/>
      <c r="E432" s="13" t="n"/>
      <c r="F432" s="13" t="n"/>
    </row>
    <row r="433">
      <c r="B433" s="46" t="n"/>
      <c r="C433" s="14" t="n"/>
      <c r="D433" s="13" t="n"/>
      <c r="E433" s="13" t="n"/>
      <c r="F433" s="13" t="n"/>
    </row>
    <row r="434">
      <c r="B434" s="46" t="n"/>
      <c r="C434" s="14" t="n"/>
      <c r="D434" s="13" t="n"/>
      <c r="E434" s="13" t="n"/>
      <c r="F434" s="13" t="n"/>
    </row>
    <row r="435">
      <c r="B435" s="46" t="n"/>
      <c r="C435" s="14" t="n"/>
      <c r="D435" s="13" t="n"/>
      <c r="E435" s="13" t="n"/>
      <c r="F435" s="13" t="n"/>
    </row>
    <row r="436">
      <c r="B436" s="46" t="n"/>
      <c r="C436" s="14" t="n"/>
      <c r="D436" s="13" t="n"/>
      <c r="E436" s="13" t="n"/>
      <c r="F436" s="13" t="n"/>
    </row>
    <row r="437">
      <c r="B437" s="46" t="n"/>
      <c r="C437" s="14" t="n"/>
      <c r="D437" s="13" t="n"/>
      <c r="E437" s="13" t="n"/>
      <c r="F437" s="13" t="n"/>
    </row>
    <row r="438">
      <c r="B438" s="46" t="n"/>
      <c r="C438" s="14" t="n"/>
      <c r="D438" s="13" t="n"/>
      <c r="E438" s="13" t="n"/>
      <c r="F438" s="13" t="n"/>
    </row>
    <row r="439">
      <c r="B439" s="46" t="n"/>
      <c r="C439" s="14" t="n"/>
      <c r="D439" s="13" t="n"/>
      <c r="E439" s="13" t="n"/>
      <c r="F439" s="13" t="n"/>
    </row>
    <row r="440">
      <c r="B440" s="46" t="n"/>
      <c r="C440" s="14" t="n"/>
      <c r="D440" s="13" t="n"/>
      <c r="E440" s="13" t="n"/>
      <c r="F440" s="13" t="n"/>
    </row>
    <row r="441">
      <c r="B441" s="46" t="n"/>
      <c r="C441" s="14" t="n"/>
      <c r="D441" s="13" t="n"/>
      <c r="E441" s="13" t="n"/>
      <c r="F441" s="13" t="n"/>
    </row>
    <row r="442">
      <c r="B442" s="46" t="n"/>
      <c r="C442" s="14" t="n"/>
      <c r="D442" s="13" t="n"/>
      <c r="E442" s="13" t="n"/>
      <c r="F442" s="13" t="n"/>
    </row>
    <row r="443">
      <c r="B443" s="46" t="n"/>
      <c r="C443" s="14" t="n"/>
      <c r="D443" s="13" t="n"/>
      <c r="E443" s="13" t="n"/>
      <c r="F443" s="13" t="n"/>
    </row>
    <row r="444">
      <c r="B444" s="46" t="n"/>
      <c r="C444" s="14" t="n"/>
      <c r="D444" s="13" t="n"/>
      <c r="E444" s="13" t="n"/>
      <c r="F444" s="13" t="n"/>
    </row>
    <row r="445">
      <c r="B445" s="46" t="n"/>
      <c r="C445" s="14" t="n"/>
      <c r="D445" s="13" t="n"/>
      <c r="E445" s="13" t="n"/>
      <c r="F445" s="13" t="n"/>
    </row>
    <row r="446">
      <c r="B446" s="46" t="n"/>
      <c r="C446" s="14" t="n"/>
      <c r="D446" s="13" t="n"/>
      <c r="E446" s="13" t="n"/>
      <c r="F446" s="13" t="n"/>
    </row>
    <row r="447">
      <c r="B447" s="46" t="n"/>
      <c r="C447" s="14" t="n"/>
      <c r="D447" s="13" t="n"/>
      <c r="E447" s="13" t="n"/>
      <c r="F447" s="13" t="n"/>
    </row>
    <row r="448">
      <c r="B448" s="46" t="n"/>
      <c r="C448" s="14" t="n"/>
      <c r="D448" s="13" t="n"/>
      <c r="E448" s="13" t="n"/>
      <c r="F448" s="13" t="n"/>
    </row>
    <row r="449">
      <c r="B449" s="46" t="n"/>
      <c r="C449" s="14" t="n"/>
      <c r="D449" s="13" t="n"/>
      <c r="E449" s="13" t="n"/>
      <c r="F449" s="13" t="n"/>
    </row>
    <row r="450">
      <c r="B450" s="46" t="n"/>
      <c r="C450" s="14" t="n"/>
      <c r="D450" s="13" t="n"/>
      <c r="E450" s="13" t="n"/>
      <c r="F450" s="13" t="n"/>
    </row>
    <row r="451">
      <c r="B451" s="46" t="n"/>
      <c r="C451" s="14" t="n"/>
      <c r="D451" s="13" t="n"/>
      <c r="E451" s="13" t="n"/>
      <c r="F451" s="13" t="n"/>
    </row>
    <row r="452">
      <c r="B452" s="46" t="n"/>
      <c r="C452" s="14" t="n"/>
      <c r="D452" s="13" t="n"/>
      <c r="E452" s="13" t="n"/>
      <c r="F452" s="13" t="n"/>
    </row>
    <row r="453">
      <c r="B453" s="46" t="n"/>
      <c r="C453" s="14" t="n"/>
      <c r="D453" s="13" t="n"/>
      <c r="E453" s="13" t="n"/>
      <c r="F453" s="13" t="n"/>
    </row>
    <row r="454">
      <c r="B454" s="46" t="n"/>
      <c r="C454" s="14" t="n"/>
      <c r="D454" s="13" t="n"/>
      <c r="E454" s="13" t="n"/>
      <c r="F454" s="13" t="n"/>
    </row>
    <row r="455">
      <c r="B455" s="46" t="n"/>
      <c r="C455" s="14" t="n"/>
      <c r="D455" s="13" t="n"/>
      <c r="E455" s="13" t="n"/>
      <c r="F455" s="13" t="n"/>
    </row>
    <row r="456">
      <c r="B456" s="46" t="n"/>
      <c r="C456" s="14" t="n"/>
      <c r="D456" s="13" t="n"/>
      <c r="E456" s="13" t="n"/>
      <c r="F456" s="13" t="n"/>
    </row>
    <row r="457">
      <c r="B457" s="46" t="n"/>
      <c r="C457" s="14" t="n"/>
      <c r="D457" s="13" t="n"/>
      <c r="E457" s="13" t="n"/>
      <c r="F457" s="13" t="n"/>
    </row>
    <row r="458">
      <c r="B458" s="46" t="n"/>
      <c r="C458" s="14" t="n"/>
      <c r="D458" s="13" t="n"/>
      <c r="E458" s="13" t="n"/>
      <c r="F458" s="13" t="n"/>
    </row>
    <row r="459">
      <c r="B459" s="46" t="n"/>
      <c r="C459" s="14" t="n"/>
      <c r="D459" s="13" t="n"/>
      <c r="E459" s="13" t="n"/>
      <c r="F459" s="13" t="n"/>
    </row>
    <row r="460">
      <c r="B460" s="46" t="n"/>
      <c r="C460" s="14" t="n"/>
      <c r="D460" s="13" t="n"/>
      <c r="E460" s="13" t="n"/>
      <c r="F460" s="13" t="n"/>
    </row>
    <row r="461">
      <c r="B461" s="46" t="n"/>
      <c r="C461" s="14" t="n"/>
      <c r="D461" s="13" t="n"/>
      <c r="E461" s="13" t="n"/>
      <c r="F461" s="13" t="n"/>
    </row>
    <row r="462">
      <c r="B462" s="46" t="n"/>
      <c r="C462" s="14" t="n"/>
      <c r="D462" s="13" t="n"/>
      <c r="E462" s="13" t="n"/>
      <c r="F462" s="13" t="n"/>
    </row>
    <row r="463">
      <c r="B463" s="46" t="n"/>
      <c r="C463" s="14" t="n"/>
      <c r="D463" s="13" t="n"/>
      <c r="E463" s="13" t="n"/>
      <c r="F463" s="13" t="n"/>
    </row>
    <row r="464">
      <c r="B464" s="46" t="n"/>
      <c r="C464" s="14" t="n"/>
      <c r="D464" s="13" t="n"/>
      <c r="E464" s="13" t="n"/>
      <c r="F464" s="13" t="n"/>
    </row>
    <row r="465">
      <c r="B465" s="46" t="n"/>
      <c r="C465" s="14" t="n"/>
      <c r="D465" s="13" t="n"/>
      <c r="E465" s="13" t="n"/>
      <c r="F465" s="13" t="n"/>
    </row>
    <row r="466">
      <c r="B466" s="46" t="n"/>
      <c r="C466" s="14" t="n"/>
      <c r="D466" s="13" t="n"/>
      <c r="E466" s="13" t="n"/>
      <c r="F466" s="13" t="n"/>
    </row>
    <row r="467">
      <c r="B467" s="46" t="n"/>
      <c r="C467" s="14" t="n"/>
      <c r="D467" s="13" t="n"/>
      <c r="E467" s="13" t="n"/>
      <c r="F467" s="13" t="n"/>
    </row>
    <row r="468">
      <c r="B468" s="46" t="n"/>
      <c r="C468" s="14" t="n"/>
      <c r="D468" s="13" t="n"/>
      <c r="E468" s="13" t="n"/>
      <c r="F468" s="13" t="n"/>
    </row>
    <row r="469">
      <c r="B469" s="46" t="n"/>
      <c r="C469" s="14" t="n"/>
      <c r="D469" s="13" t="n"/>
      <c r="E469" s="13" t="n"/>
      <c r="F469" s="13" t="n"/>
    </row>
    <row r="470">
      <c r="B470" s="46" t="n"/>
      <c r="C470" s="14" t="n"/>
      <c r="D470" s="13" t="n"/>
      <c r="E470" s="13" t="n"/>
      <c r="F470" s="13" t="n"/>
    </row>
    <row r="471">
      <c r="B471" s="46" t="n"/>
      <c r="C471" s="14" t="n"/>
      <c r="D471" s="13" t="n"/>
      <c r="E471" s="13" t="n"/>
      <c r="F471" s="13" t="n"/>
    </row>
    <row r="472">
      <c r="B472" s="46" t="n"/>
      <c r="C472" s="14" t="n"/>
      <c r="D472" s="13" t="n"/>
      <c r="E472" s="13" t="n"/>
      <c r="F472" s="13" t="n"/>
    </row>
    <row r="473">
      <c r="B473" s="46" t="n"/>
      <c r="C473" s="14" t="n"/>
      <c r="D473" s="13" t="n"/>
      <c r="E473" s="13" t="n"/>
      <c r="F473" s="13" t="n"/>
    </row>
    <row r="474">
      <c r="B474" s="46" t="n"/>
      <c r="C474" s="14" t="n"/>
      <c r="D474" s="13" t="n"/>
      <c r="E474" s="13" t="n"/>
      <c r="F474" s="13" t="n"/>
    </row>
    <row r="475">
      <c r="B475" s="46" t="n"/>
      <c r="C475" s="14" t="n"/>
      <c r="D475" s="13" t="n"/>
      <c r="E475" s="13" t="n"/>
      <c r="F475" s="13" t="n"/>
    </row>
    <row r="476">
      <c r="B476" s="46" t="n"/>
      <c r="C476" s="14" t="n"/>
      <c r="D476" s="13" t="n"/>
      <c r="E476" s="13" t="n"/>
      <c r="F476" s="13" t="n"/>
    </row>
    <row r="477">
      <c r="B477" s="46" t="n"/>
      <c r="C477" s="14" t="n"/>
      <c r="D477" s="13" t="n"/>
      <c r="E477" s="13" t="n"/>
      <c r="F477" s="13" t="n"/>
    </row>
    <row r="478">
      <c r="B478" s="46" t="n"/>
      <c r="C478" s="14" t="n"/>
      <c r="D478" s="13" t="n"/>
      <c r="E478" s="13" t="n"/>
      <c r="F478" s="13" t="n"/>
    </row>
    <row r="479">
      <c r="B479" s="46" t="n"/>
      <c r="C479" s="14" t="n"/>
      <c r="D479" s="13" t="n"/>
      <c r="E479" s="13" t="n"/>
      <c r="F479" s="13" t="n"/>
    </row>
    <row r="480">
      <c r="B480" s="46" t="n"/>
      <c r="C480" s="14" t="n"/>
      <c r="D480" s="13" t="n"/>
      <c r="E480" s="13" t="n"/>
      <c r="F480" s="13" t="n"/>
    </row>
    <row r="481">
      <c r="B481" s="46" t="n"/>
      <c r="C481" s="14" t="n"/>
      <c r="D481" s="13" t="n"/>
      <c r="E481" s="13" t="n"/>
      <c r="F481" s="13" t="n"/>
    </row>
    <row r="482">
      <c r="B482" s="46" t="n"/>
      <c r="C482" s="14" t="n"/>
      <c r="D482" s="13" t="n"/>
      <c r="E482" s="13" t="n"/>
      <c r="F482" s="13" t="n"/>
    </row>
    <row r="483">
      <c r="B483" s="46" t="n"/>
      <c r="C483" s="14" t="n"/>
      <c r="D483" s="13" t="n"/>
      <c r="E483" s="13" t="n"/>
      <c r="F483" s="13" t="n"/>
    </row>
    <row r="484">
      <c r="B484" s="46" t="n"/>
      <c r="C484" s="14" t="n"/>
      <c r="D484" s="13" t="n"/>
      <c r="E484" s="13" t="n"/>
      <c r="F484" s="13" t="n"/>
    </row>
    <row r="485">
      <c r="B485" s="46" t="n"/>
      <c r="C485" s="14" t="n"/>
      <c r="D485" s="13" t="n"/>
      <c r="E485" s="13" t="n"/>
      <c r="F485" s="13" t="n"/>
    </row>
    <row r="486">
      <c r="B486" s="46" t="n"/>
      <c r="C486" s="14" t="n"/>
      <c r="D486" s="13" t="n"/>
      <c r="E486" s="13" t="n"/>
      <c r="F486" s="13" t="n"/>
    </row>
    <row r="487">
      <c r="B487" s="46" t="n"/>
      <c r="C487" s="14" t="n"/>
      <c r="D487" s="13" t="n"/>
      <c r="E487" s="13" t="n"/>
      <c r="F487" s="13" t="n"/>
    </row>
    <row r="488">
      <c r="B488" s="46" t="n"/>
      <c r="C488" s="14" t="n"/>
      <c r="D488" s="13" t="n"/>
      <c r="E488" s="13" t="n"/>
      <c r="F488" s="13" t="n"/>
    </row>
    <row r="489">
      <c r="B489" s="46" t="n"/>
      <c r="C489" s="14" t="n"/>
      <c r="D489" s="13" t="n"/>
      <c r="E489" s="13" t="n"/>
      <c r="F489" s="13" t="n"/>
    </row>
    <row r="490">
      <c r="B490" s="46" t="n"/>
      <c r="C490" s="14" t="n"/>
      <c r="D490" s="13" t="n"/>
      <c r="E490" s="13" t="n"/>
      <c r="F490" s="13" t="n"/>
    </row>
    <row r="491">
      <c r="B491" s="46" t="n"/>
      <c r="C491" s="14" t="n"/>
      <c r="D491" s="13" t="n"/>
      <c r="E491" s="13" t="n"/>
      <c r="F491" s="13" t="n"/>
    </row>
    <row r="492">
      <c r="B492" s="46" t="n"/>
      <c r="C492" s="14" t="n"/>
      <c r="D492" s="13" t="n"/>
      <c r="E492" s="13" t="n"/>
      <c r="F492" s="13" t="n"/>
    </row>
    <row r="493">
      <c r="B493" s="46" t="n"/>
      <c r="C493" s="14" t="n"/>
      <c r="D493" s="13" t="n"/>
      <c r="E493" s="13" t="n"/>
      <c r="F493" s="13" t="n"/>
    </row>
    <row r="494">
      <c r="B494" s="46" t="n"/>
      <c r="C494" s="14" t="n"/>
      <c r="D494" s="13" t="n"/>
      <c r="E494" s="13" t="n"/>
      <c r="F494" s="13" t="n"/>
    </row>
    <row r="495">
      <c r="B495" s="46" t="n"/>
      <c r="C495" s="14" t="n"/>
      <c r="D495" s="13" t="n"/>
      <c r="E495" s="13" t="n"/>
      <c r="F495" s="13" t="n"/>
    </row>
    <row r="496">
      <c r="B496" s="46" t="n"/>
      <c r="C496" s="14" t="n"/>
      <c r="D496" s="13" t="n"/>
      <c r="E496" s="13" t="n"/>
      <c r="F496" s="13" t="n"/>
    </row>
    <row r="497">
      <c r="B497" s="46" t="n"/>
      <c r="C497" s="14" t="n"/>
      <c r="D497" s="13" t="n"/>
      <c r="E497" s="13" t="n"/>
      <c r="F497" s="13" t="n"/>
    </row>
    <row r="498">
      <c r="B498" s="46" t="n"/>
      <c r="C498" s="14" t="n"/>
      <c r="D498" s="13" t="n"/>
      <c r="E498" s="13" t="n"/>
      <c r="F498" s="13" t="n"/>
    </row>
    <row r="499">
      <c r="B499" s="46" t="n"/>
      <c r="C499" s="14" t="n"/>
      <c r="D499" s="13" t="n"/>
      <c r="E499" s="13" t="n"/>
      <c r="F499" s="13" t="n"/>
    </row>
    <row r="500">
      <c r="B500" s="46" t="n"/>
      <c r="C500" s="14" t="n"/>
      <c r="D500" s="13" t="n"/>
      <c r="E500" s="13" t="n"/>
      <c r="F500" s="13" t="n"/>
    </row>
    <row r="501">
      <c r="B501" s="46" t="n"/>
      <c r="C501" s="14" t="n"/>
      <c r="D501" s="13" t="n"/>
      <c r="E501" s="13" t="n"/>
      <c r="F501" s="13" t="n"/>
    </row>
    <row r="502">
      <c r="B502" s="46" t="n"/>
      <c r="C502" s="14" t="n"/>
      <c r="D502" s="13" t="n"/>
      <c r="E502" s="13" t="n"/>
      <c r="F502" s="13" t="n"/>
    </row>
    <row r="503">
      <c r="B503" s="46" t="n"/>
      <c r="C503" s="14" t="n"/>
      <c r="D503" s="13" t="n"/>
      <c r="E503" s="13" t="n"/>
      <c r="F503" s="13" t="n"/>
    </row>
    <row r="504">
      <c r="B504" s="46" t="n"/>
      <c r="C504" s="14" t="n"/>
      <c r="D504" s="13" t="n"/>
      <c r="E504" s="13" t="n"/>
      <c r="F504" s="13" t="n"/>
    </row>
    <row r="505">
      <c r="B505" s="46" t="n"/>
      <c r="C505" s="14" t="n"/>
      <c r="D505" s="13" t="n"/>
      <c r="E505" s="13" t="n"/>
      <c r="F505" s="13" t="n"/>
    </row>
    <row r="506">
      <c r="B506" s="46" t="n"/>
      <c r="C506" s="14" t="n"/>
      <c r="D506" s="13" t="n"/>
      <c r="E506" s="13" t="n"/>
      <c r="F506" s="13" t="n"/>
    </row>
    <row r="507">
      <c r="B507" s="46" t="n"/>
      <c r="C507" s="14" t="n"/>
      <c r="D507" s="13" t="n"/>
      <c r="E507" s="13" t="n"/>
      <c r="F507" s="13" t="n"/>
    </row>
    <row r="508">
      <c r="B508" s="46" t="n"/>
      <c r="C508" s="14" t="n"/>
      <c r="D508" s="13" t="n"/>
      <c r="E508" s="13" t="n"/>
      <c r="F508" s="13" t="n"/>
    </row>
    <row r="509">
      <c r="B509" s="46" t="n"/>
      <c r="C509" s="14" t="n"/>
      <c r="D509" s="13" t="n"/>
      <c r="E509" s="13" t="n"/>
      <c r="F509" s="13" t="n"/>
    </row>
    <row r="510">
      <c r="B510" s="46" t="n"/>
      <c r="C510" s="14" t="n"/>
      <c r="D510" s="13" t="n"/>
      <c r="E510" s="13" t="n"/>
      <c r="F510" s="13" t="n"/>
    </row>
    <row r="511">
      <c r="B511" s="46" t="n"/>
      <c r="C511" s="14" t="n"/>
      <c r="D511" s="13" t="n"/>
      <c r="E511" s="13" t="n"/>
      <c r="F511" s="13" t="n"/>
    </row>
    <row r="512">
      <c r="B512" s="46" t="n"/>
      <c r="C512" s="14" t="n"/>
      <c r="D512" s="13" t="n"/>
      <c r="E512" s="13" t="n"/>
      <c r="F512" s="13" t="n"/>
    </row>
    <row r="513">
      <c r="B513" s="46" t="n"/>
      <c r="C513" s="14" t="n"/>
      <c r="D513" s="13" t="n"/>
      <c r="E513" s="13" t="n"/>
      <c r="F513" s="13" t="n"/>
    </row>
    <row r="514">
      <c r="B514" s="46" t="n"/>
      <c r="C514" s="14" t="n"/>
      <c r="D514" s="13" t="n"/>
      <c r="E514" s="13" t="n"/>
      <c r="F514" s="13" t="n"/>
    </row>
    <row r="515">
      <c r="B515" s="46" t="n"/>
      <c r="C515" s="14" t="n"/>
      <c r="D515" s="13" t="n"/>
      <c r="E515" s="13" t="n"/>
      <c r="F515" s="13" t="n"/>
    </row>
    <row r="516">
      <c r="B516" s="46" t="n"/>
      <c r="C516" s="14" t="n"/>
      <c r="D516" s="13" t="n"/>
      <c r="E516" s="13" t="n"/>
      <c r="F516" s="13" t="n"/>
    </row>
    <row r="517">
      <c r="B517" s="46" t="n"/>
      <c r="C517" s="14" t="n"/>
      <c r="D517" s="13" t="n"/>
      <c r="E517" s="13" t="n"/>
      <c r="F517" s="13" t="n"/>
    </row>
    <row r="518">
      <c r="B518" s="46" t="n"/>
      <c r="C518" s="14" t="n"/>
      <c r="D518" s="13" t="n"/>
      <c r="E518" s="13" t="n"/>
      <c r="F518" s="13" t="n"/>
    </row>
    <row r="519">
      <c r="B519" s="46" t="n"/>
      <c r="C519" s="14" t="n"/>
      <c r="D519" s="13" t="n"/>
      <c r="E519" s="13" t="n"/>
      <c r="F519" s="13" t="n"/>
    </row>
    <row r="520">
      <c r="B520" s="46" t="n"/>
      <c r="C520" s="14" t="n"/>
      <c r="D520" s="13" t="n"/>
      <c r="E520" s="13" t="n"/>
      <c r="F520" s="13" t="n"/>
    </row>
    <row r="521">
      <c r="B521" s="46" t="n"/>
      <c r="C521" s="14" t="n"/>
      <c r="D521" s="13" t="n"/>
      <c r="E521" s="13" t="n"/>
      <c r="F521" s="13" t="n"/>
    </row>
    <row r="522">
      <c r="B522" s="46" t="n"/>
      <c r="C522" s="14" t="n"/>
      <c r="D522" s="13" t="n"/>
      <c r="E522" s="13" t="n"/>
      <c r="F522" s="13" t="n"/>
    </row>
  </sheetData>
  <conditionalFormatting sqref="B19:C19">
    <cfRule type="expression" priority="1" dxfId="0">
      <formula>$C$17&lt;$C$16</formula>
    </cfRule>
    <cfRule type="expression" priority="2" dxfId="1">
      <formula>$C$17&gt;=$C$16</formula>
    </cfRule>
  </conditionalFormatting>
  <conditionalFormatting sqref="C17">
    <cfRule type="expression" priority="3" dxfId="0">
      <formula>$C$17&lt;$C$16</formula>
    </cfRule>
    <cfRule type="expression" priority="4" dxfId="1">
      <formula>$C$17&gt;=$C$16</formula>
    </cfRule>
  </conditionalFormatting>
  <conditionalFormatting sqref="C18">
    <cfRule type="expression" priority="5" dxfId="2">
      <formula>$C$18&lt;$C$15</formula>
    </cfRule>
    <cfRule type="expression" priority="6" dxfId="3">
      <formula>$C$18&gt;=$C$15</formula>
    </cfRule>
  </conditionalFormatting>
  <conditionalFormatting sqref="E23:F522">
    <cfRule type="expression" priority="7" dxfId="4">
      <formula>AND($C23&lt;&gt;"",E23="")</formula>
    </cfRule>
  </conditionalFormatting>
  <conditionalFormatting sqref="J64">
    <cfRule type="expression" priority="8" dxfId="4">
      <formula>ABS(J64)&gt;0.005</formula>
    </cfRule>
  </conditionalFormatting>
  <dataValidations count="2">
    <dataValidation sqref="E23:E522" showDropDown="0" showInputMessage="0" showErrorMessage="1" allowBlank="1" errorTitle="Categoría no válida" error="Elige una categoría de la lista (se editan en la hoja Listas)." type="list">
      <formula1>=Listas!$A$1:$N$1</formula1>
    </dataValidation>
    <dataValidation sqref="F23:F522" showDropDown="0" showInputMessage="0" showErrorMessage="1" allowBlank="1" errorTitle="Subcategoría no válida" error="Elige primero la categoría y luego una de sus subcategorías." type="list">
      <formula1>=OFFSET(Listas!$A$2,0,MATCH($E23,Listas!$A$1:$N$1,0)-1,MAX(1,COUNTA(OFFSET(Listas!$A$2,0,MATCH($E23,Listas!$A$1:$N$1,0)-1,10,1))),1)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30" customHeight="1">
      <c r="A1" s="101" t="inlineStr">
        <is>
          <t>SALUD</t>
        </is>
      </c>
      <c r="B1" s="102" t="inlineStr">
        <is>
          <t>DEPORTE</t>
        </is>
      </c>
      <c r="C1" s="103" t="inlineStr">
        <is>
          <t>COMIDA (SÚPER)</t>
        </is>
      </c>
      <c r="D1" s="104" t="inlineStr">
        <is>
          <t>CAFÉS Y MÁQUINA CURRO</t>
        </is>
      </c>
      <c r="E1" s="105" t="inlineStr">
        <is>
          <t>RESTAURANTES Y TOMAR ALGO</t>
        </is>
      </c>
      <c r="F1" s="106" t="inlineStr">
        <is>
          <t>SERVICIOS</t>
        </is>
      </c>
      <c r="G1" s="107" t="inlineStr">
        <is>
          <t>OCIO</t>
        </is>
      </c>
      <c r="H1" s="108" t="inlineStr">
        <is>
          <t>ROPA</t>
        </is>
      </c>
      <c r="I1" s="109" t="inlineStr">
        <is>
          <t>ELECTRÓNICA</t>
        </is>
      </c>
      <c r="J1" s="110" t="inlineStr">
        <is>
          <t>CASA</t>
        </is>
      </c>
      <c r="K1" s="111" t="inlineStr">
        <is>
          <t>REGALOS</t>
        </is>
      </c>
      <c r="L1" s="112" t="inlineStr">
        <is>
          <t>ESTUDIO</t>
        </is>
      </c>
      <c r="M1" s="113" t="inlineStr">
        <is>
          <t>VARIOS</t>
        </is>
      </c>
      <c r="N1" s="114" t="inlineStr">
        <is>
          <t>INVERSIÓN</t>
        </is>
      </c>
    </row>
    <row r="2">
      <c r="A2" s="115" t="inlineStr">
        <is>
          <t>Medicamentos</t>
        </is>
      </c>
      <c r="B2" s="115" t="inlineStr">
        <is>
          <t>Gimnasio</t>
        </is>
      </c>
      <c r="C2" s="115" t="inlineStr">
        <is>
          <t>Supermercado</t>
        </is>
      </c>
      <c r="D2" s="115" t="inlineStr">
        <is>
          <t>Cafés</t>
        </is>
      </c>
      <c r="E2" s="115" t="inlineStr">
        <is>
          <t>Restaurante</t>
        </is>
      </c>
      <c r="F2" s="115" t="inlineStr">
        <is>
          <t>Transporte</t>
        </is>
      </c>
      <c r="G2" s="115" t="inlineStr">
        <is>
          <t>Videojuegos</t>
        </is>
      </c>
      <c r="H2" s="115" t="inlineStr">
        <is>
          <t>Ropa</t>
        </is>
      </c>
      <c r="I2" s="115" t="inlineStr">
        <is>
          <t>Dispositivos</t>
        </is>
      </c>
      <c r="J2" s="115" t="inlineStr">
        <is>
          <t>Reformas</t>
        </is>
      </c>
      <c r="K2" s="115" t="inlineStr">
        <is>
          <t>Cumpleaños</t>
        </is>
      </c>
      <c r="L2" s="115" t="inlineStr">
        <is>
          <t>Cursos</t>
        </is>
      </c>
      <c r="M2" s="115" t="inlineStr">
        <is>
          <t>Viajes</t>
        </is>
      </c>
      <c r="N2" s="115" t="inlineStr">
        <is>
          <t>Fondos / acciones</t>
        </is>
      </c>
    </row>
    <row r="3">
      <c r="A3" s="115" t="inlineStr">
        <is>
          <t>Médico / dentista</t>
        </is>
      </c>
      <c r="B3" s="115" t="inlineStr">
        <is>
          <t>Material deportivo</t>
        </is>
      </c>
      <c r="C3" s="115" t="inlineStr">
        <is>
          <t>Snacks / otros</t>
        </is>
      </c>
      <c r="D3" s="115" t="inlineStr">
        <is>
          <t>Máquina curro</t>
        </is>
      </c>
      <c r="E3" s="115" t="inlineStr">
        <is>
          <t>Tomar algo</t>
        </is>
      </c>
      <c r="F3" s="115" t="inlineStr">
        <is>
          <t>Suscripciones</t>
        </is>
      </c>
      <c r="G3" s="115" t="inlineStr">
        <is>
          <t>Cine / conciertos</t>
        </is>
      </c>
      <c r="H3" s="115" t="inlineStr">
        <is>
          <t>Calzado</t>
        </is>
      </c>
      <c r="I3" s="115" t="inlineStr">
        <is>
          <t>Accesorios / periféricos</t>
        </is>
      </c>
      <c r="J3" s="115" t="inlineStr">
        <is>
          <t>Muebles / decoración</t>
        </is>
      </c>
      <c r="K3" s="115" t="inlineStr">
        <is>
          <t>Navidad</t>
        </is>
      </c>
      <c r="L3" s="115" t="inlineStr">
        <is>
          <t>Libros / material</t>
        </is>
      </c>
      <c r="M3" s="115" t="inlineStr">
        <is>
          <t>Otros</t>
        </is>
      </c>
      <c r="N3" s="115" t="inlineStr">
        <is>
          <t>Cripto</t>
        </is>
      </c>
    </row>
    <row r="4">
      <c r="A4" s="115" t="inlineStr">
        <is>
          <t>Óptica</t>
        </is>
      </c>
      <c r="B4" s="115" t="inlineStr">
        <is>
          <t>Actividades / competiciones</t>
        </is>
      </c>
      <c r="E4" s="115" t="inlineStr">
        <is>
          <t>Comida a domicilio</t>
        </is>
      </c>
      <c r="F4" s="115" t="inlineStr">
        <is>
          <t>Facturas (luz, móvil...)</t>
        </is>
      </c>
      <c r="G4" s="115" t="inlineStr">
        <is>
          <t>Fiesta / salidas</t>
        </is>
      </c>
      <c r="H4" s="115" t="inlineStr">
        <is>
          <t>Accesorios</t>
        </is>
      </c>
      <c r="J4" s="115" t="inlineStr">
        <is>
          <t>Limpieza / hogar</t>
        </is>
      </c>
      <c r="K4" s="115" t="inlineStr">
        <is>
          <t>Otros regalos</t>
        </is>
      </c>
      <c r="L4" s="115" t="inlineStr">
        <is>
          <t>Herramientas IA / software</t>
        </is>
      </c>
      <c r="N4" s="115" t="inlineStr">
        <is>
          <t>Otros inversión</t>
        </is>
      </c>
    </row>
    <row r="5">
      <c r="A5" s="115" t="inlineStr">
        <is>
          <t>Otros salud</t>
        </is>
      </c>
      <c r="F5" s="115" t="inlineStr">
        <is>
          <t>Impuestos</t>
        </is>
      </c>
      <c r="G5" s="115" t="inlineStr">
        <is>
          <t>Otros ocio</t>
        </is>
      </c>
    </row>
    <row r="13">
      <c r="A13" s="2" t="inlineStr">
        <is>
          <t>Puedes añadir subcategorías debajo de cada categoría (máx. 10 por categoría). Si añades una, añádela también a la tabla 'Desglose por subcategoría' de la hoja del mes.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16" t="inlineStr">
        <is>
          <t>CÓMO FUNCIONA ESTE EXCEL</t>
        </is>
      </c>
    </row>
    <row r="3">
      <c r="B3" s="117" t="inlineStr">
        <is>
          <t>1. Apunta cada gasto en la tabla MOVIMIENTOS: importe, descripción, categoría y subcategoría.</t>
        </is>
      </c>
    </row>
    <row r="4">
      <c r="B4" s="117" t="inlineStr">
        <is>
          <t xml:space="preserve">   · La categoría se elige en un desplegable. La subcategoría también, y solo muestra las de la categoría elegida.</t>
        </is>
      </c>
    </row>
    <row r="5">
      <c r="B5" s="117" t="inlineStr">
        <is>
          <t xml:space="preserve">   · Si pones un importe y dejas la categoría vacía, la celda se marca en amarillo.</t>
        </is>
      </c>
    </row>
    <row r="6">
      <c r="B6" s="117" t="inlineStr">
        <is>
          <t>2. Rellena tus ingresos en el panel INGRESOS Y AHORRO: nómina (ingreso principal) y otras fuentes (hasta 4 líneas).</t>
        </is>
      </c>
    </row>
    <row r="7">
      <c r="B7" s="117" t="inlineStr">
        <is>
          <t>3. El ahorro se calcula solo:</t>
        </is>
      </c>
    </row>
    <row r="8">
      <c r="B8" s="117" t="inlineStr">
        <is>
          <t xml:space="preserve">   · Ahorro real = Ingresos totales − Gastos totales.  Ahorro objetivo = 70% de los ingresos totales (cambiable en la celda amarilla).</t>
        </is>
      </c>
    </row>
    <row r="9">
      <c r="B9" s="117" t="inlineStr">
        <is>
          <t xml:space="preserve">   · DIFERENCIA VS OBJETIVO = Ahorro real − Ahorro objetivo → ROJO y negativo si ahorras menos; VERDE y positivo si ahorras más.</t>
        </is>
      </c>
    </row>
    <row r="10">
      <c r="B10" s="117" t="inlineStr">
        <is>
          <t xml:space="preserve">   · La INVERSIÓN se registra como movimiento pero NO cuenta como gasto (el dinero sigue siendo tuyo), así que suma al ahorro.</t>
        </is>
      </c>
    </row>
    <row r="11">
      <c r="B11" s="117" t="inlineStr"/>
    </row>
    <row r="12">
      <c r="B12" s="116" t="inlineStr">
        <is>
          <t>CÓMO ESTÁN ORGANIZADAS LAS CATEGORÍAS (2 niveles: categoría → subcategoría)</t>
        </is>
      </c>
    </row>
    <row r="13">
      <c r="B13" s="117" t="inlineStr">
        <is>
          <t>· SALUD → Medicamentos, Médico/dentista, Óptica, Otros salud.</t>
        </is>
      </c>
    </row>
    <row r="14">
      <c r="B14" s="117" t="inlineStr">
        <is>
          <t>· DEPORTE (nueva) → Gimnasio, Material deportivo, Actividades. El 'gym' que tenías en Salud ahora va aquí.</t>
        </is>
      </c>
    </row>
    <row r="15">
      <c r="B15" s="117" t="inlineStr">
        <is>
          <t>· COMIDA (SÚPER) → Supermercado, Snacks. Solo comida que compras para casa.</t>
        </is>
      </c>
    </row>
    <row r="16">
      <c r="B16" s="117" t="inlineStr">
        <is>
          <t>· CAFÉS Y MÁQUINA CURRO (nueva) → Cafés, Máquina curro. Los 'cafés curro' y 'donetes' van aquí en vez de en Comida.</t>
        </is>
      </c>
    </row>
    <row r="17">
      <c r="B17" s="117" t="inlineStr">
        <is>
          <t>· RESTAURANTES Y TOMAR ALGO (nueva) → Restaurante, Tomar algo, Comida a domicilio.</t>
        </is>
      </c>
    </row>
    <row r="18">
      <c r="B18" s="117" t="inlineStr">
        <is>
          <t>· SERVICIOS → Transporte, Suscripciones, Facturas, Impuestos (antes 'impuesto' y 'servicio' iban por separado).</t>
        </is>
      </c>
    </row>
    <row r="19">
      <c r="B19" s="117" t="inlineStr">
        <is>
          <t>· OCIO → Videojuegos, Cine/conciertos, Fiesta/salidas, Otros. La antigua categoría SALIDAS pasa a ser subcategoría de Ocio.</t>
        </is>
      </c>
    </row>
    <row r="20">
      <c r="B20" s="117" t="inlineStr">
        <is>
          <t>· ROPA (nueva) → Ropa, Calzado, Accesorios.</t>
        </is>
      </c>
    </row>
    <row r="21">
      <c r="B21" s="117" t="inlineStr">
        <is>
          <t>· ELECTRÓNICA, CASA, REGALOS, ESTUDIO → igual que antes, pero con subcategorías.</t>
        </is>
      </c>
    </row>
    <row r="22">
      <c r="B22" s="117" t="inlineStr">
        <is>
          <t>· VARIOS → Viajes, Otros. Igual que en tu plantilla (viaje + varios), pero ahora Viajes se ve por separado en el desglose.</t>
        </is>
      </c>
    </row>
    <row r="23">
      <c r="B23" s="117" t="inlineStr">
        <is>
          <t>· INVERSIÓN → Fondos/acciones, Cripto, Otros. Aparte: no entra en gastos ni en los gráficos.</t>
        </is>
      </c>
    </row>
    <row r="24">
      <c r="B24" s="117" t="inlineStr"/>
    </row>
    <row r="25">
      <c r="B25" s="116" t="inlineStr">
        <is>
          <t>GRÁFICOS</t>
        </is>
      </c>
    </row>
    <row r="26">
      <c r="B26" s="117" t="inlineStr">
        <is>
          <t>· 'Gasto por categoría': un sector por categoría, con el mismo color que en la tabla.</t>
        </is>
      </c>
    </row>
    <row r="27">
      <c r="B27" s="117" t="inlineStr">
        <is>
          <t>· 'Desglose por subcategoría': un sector por subcategoría, en tonos del color de su categoría, para ver qué compone cada gasto.</t>
        </is>
      </c>
    </row>
    <row r="28">
      <c r="B28" s="117" t="inlineStr">
        <is>
          <t>· Las categorías/subcategorías a 0 € no muestran etiqueta para que el gráfico quede limpio.</t>
        </is>
      </c>
    </row>
    <row r="29">
      <c r="B29" s="117" t="inlineStr"/>
    </row>
    <row r="30">
      <c r="B30" s="116" t="inlineStr">
        <is>
          <t>PERSONALIZAR</t>
        </is>
      </c>
    </row>
    <row r="31">
      <c r="B31" s="117" t="inlineStr">
        <is>
          <t>· Para añadir subcategorías: escríbelas en la hoja 'Listas' bajo su categoría y añade una fila en la tabla de desglose de la hoja del mes.</t>
        </is>
      </c>
    </row>
    <row r="32">
      <c r="B32" s="117" t="inlineStr">
        <is>
          <t>· Para un mes nuevo: botón derecho sobre la pestaña del mes → Mover o copiar → Crear una copia, renómbrala y borra los movimientos.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2026-10-03T15:07:07Z</dcterms:created>
  <dcterms:modified xsi:type="dcterms:W3CDTF">2026-10-03T15:07:08Z</dcterms:modified>
</cp:coreProperties>
</file>